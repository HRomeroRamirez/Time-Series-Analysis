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romeroramirez/Desktop/Working Copies/Time Series Analysis/Research/PRMonetary/Inputs/"/>
    </mc:Choice>
  </mc:AlternateContent>
  <xr:revisionPtr revIDLastSave="0" documentId="13_ncr:1_{6DA39D46-705E-2547-88E2-426EFB2EA63C}" xr6:coauthVersionLast="47" xr6:coauthVersionMax="47" xr10:uidLastSave="{00000000-0000-0000-0000-000000000000}"/>
  <bookViews>
    <workbookView xWindow="4920" yWindow="500" windowWidth="19460" windowHeight="14300" activeTab="3" xr2:uid="{E93089DF-B40E-4C4A-BF9E-203DA0BE66A1}"/>
  </bookViews>
  <sheets>
    <sheet name="Sources &amp; Methods" sheetId="5" r:id="rId1"/>
    <sheet name="Prem-Monthly-Data" sheetId="7" r:id="rId2"/>
    <sheet name="Prem-Quarterly-Data-1984" sheetId="9" r:id="rId3"/>
    <sheet name="Prem-Quarterly-Data-2006-2023" sheetId="2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 a="1"/>
  <c r="L2" i="9" s="1"/>
  <c r="K2" i="9" a="1"/>
  <c r="K2" i="9" s="1"/>
  <c r="J2" i="9" a="1"/>
  <c r="J2" i="9" s="1"/>
  <c r="I2" i="9" a="1"/>
  <c r="I2" i="9" s="1"/>
  <c r="H2" i="9" a="1"/>
  <c r="H2" i="9" s="1"/>
  <c r="G2" i="9" a="1"/>
  <c r="G2" i="9" s="1"/>
  <c r="F2" i="9" a="1"/>
  <c r="F2" i="9" s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2" i="7"/>
  <c r="E2" i="9" a="1"/>
  <c r="E2" i="9" s="1"/>
  <c r="C2" i="9" a="1"/>
  <c r="C2" i="9" s="1"/>
  <c r="B2" i="9" a="1"/>
  <c r="B2" i="9" s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2" i="7"/>
  <c r="D2" i="9" l="1" a="1"/>
  <c r="D2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<sst xmlns="http://schemas.openxmlformats.org/spreadsheetml/2006/main" count="88" uniqueCount="46">
  <si>
    <t>Date</t>
  </si>
  <si>
    <t>Variable</t>
  </si>
  <si>
    <t>Description</t>
  </si>
  <si>
    <t>Source</t>
  </si>
  <si>
    <t>Index Dec 2006=100, Monthly</t>
  </si>
  <si>
    <t>https://www.mercadolaboral.pr.gov/Tablas_Estadisticas/Otras_Tablas/T_Indice_Precio.aspx</t>
  </si>
  <si>
    <t>Code</t>
  </si>
  <si>
    <t>PFR</t>
  </si>
  <si>
    <t>Proxy Funds Rate</t>
  </si>
  <si>
    <t>https://www.frbsf.org/research-and-insights/data-and-indicators/proxy-funds-rate/</t>
  </si>
  <si>
    <t>PFR_2</t>
  </si>
  <si>
    <t>Monthly Percent</t>
  </si>
  <si>
    <t>UR</t>
  </si>
  <si>
    <t>Index Dec 2006=100, Monthly, Seasonally Adjusted</t>
  </si>
  <si>
    <t>https://fred.stlouisfed.org/series/PRUR#</t>
  </si>
  <si>
    <t>CCPI</t>
  </si>
  <si>
    <t>Puerto Rico Unemployment Rate</t>
  </si>
  <si>
    <t>HCPI</t>
  </si>
  <si>
    <t>Puerto Rico Headline Consumer Price Index</t>
  </si>
  <si>
    <t xml:space="preserve"> CCPI &amp; HCPI</t>
  </si>
  <si>
    <t>MPS</t>
  </si>
  <si>
    <t>MPS_2</t>
  </si>
  <si>
    <t>Monetary Policy Surprise</t>
  </si>
  <si>
    <t>Raw, unadjusted monetary policy surprise (MPS) measure from Bauer and Swanson (2023), computed as the first principal component of the changes in ED1-ED4, scaled so that the impact on ED4 is unity.</t>
  </si>
  <si>
    <t>https://www.frbsf.org/research-and-insights/data-and-indicators/monetary-policy-surprises/</t>
  </si>
  <si>
    <t>UNRATE</t>
  </si>
  <si>
    <t>HCPI_US</t>
  </si>
  <si>
    <t>CCPI_US</t>
  </si>
  <si>
    <t>https://fred.stlouisfed.org/series/MEDCPIM158SFRBCLE#</t>
  </si>
  <si>
    <t>https://fred.stlouisfed.org/series/CPIAUCSL#</t>
  </si>
  <si>
    <t>https://fred.stlouisfed.org/series/UNRATE#</t>
  </si>
  <si>
    <t>US Unemployment Rate</t>
  </si>
  <si>
    <t>US Headline CPI</t>
  </si>
  <si>
    <t>US Median Core CPI</t>
  </si>
  <si>
    <t>Consumer Price Index for All Urban Consumers: All Items in U.S. City Average, Index Dec 2006=100, Monthly, Seasonally Adjusted</t>
  </si>
  <si>
    <t>Median Consumer Price Index, Index Dec 2006=100, Monthly, Seasonally Adjusted</t>
  </si>
  <si>
    <t>WTI</t>
  </si>
  <si>
    <t>Spot Crude Oil Price: West Texas Intermediate (WTI)</t>
  </si>
  <si>
    <t>Index Dec 2006=100, Monthly, Not Seasonally Adjusted</t>
  </si>
  <si>
    <t>https://fred.stlouisfed.org/series/WTISPLC#</t>
  </si>
  <si>
    <t>Coincident Economic Activity Index for the United States</t>
  </si>
  <si>
    <t>https://fred.stlouisfed.org/series/USPHCI#</t>
  </si>
  <si>
    <t>EAI_US</t>
  </si>
  <si>
    <t>Puerto Rico Economic Activity Index</t>
  </si>
  <si>
    <t>EAI_PR</t>
  </si>
  <si>
    <t>https://www.desarrollo.pr.gov/en/estadisticas-economicas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</si>
</sst>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"/>
    <numFmt numFmtId="166" formatCode="0.00000"/>
    <numFmt numFmtId="167" formatCode="##0.000"/>
    <numFmt numFmtId="168" formatCode="0.0000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7" fillId="0" borderId="0"/>
    <xf numFmtId="0" fontId="7" fillId="0" borderId="0"/>
  </cellStyleXfs>
  <cellXfs count="21">
    <xf numFmtId="0" fontId="0" fillId="0" borderId="0" xfId="0"/>
    <xf numFmtId="0" fontId="1" fillId="0" borderId="0" xfId="0" applyFont="1"/>
    <xf numFmtId="0" fontId="2" fillId="0" borderId="0" xfId="1" applyFont="1"/>
    <xf numFmtId="0" fontId="0" fillId="2" borderId="0" xfId="0" applyFill="1"/>
    <xf numFmtId="164" fontId="0" fillId="0" borderId="0" xfId="0" applyNumberFormat="1"/>
    <xf numFmtId="166" fontId="0" fillId="0" borderId="0" xfId="0" applyNumberFormat="1"/>
    <xf numFmtId="164" fontId="0" fillId="2" borderId="0" xfId="0" applyNumberFormat="1" applyFill="1"/>
    <xf numFmtId="166" fontId="0" fillId="2" borderId="0" xfId="0" applyNumberFormat="1" applyFill="1"/>
    <xf numFmtId="166" fontId="4" fillId="0" borderId="0" xfId="0" applyNumberFormat="1" applyFont="1"/>
    <xf numFmtId="165" fontId="0" fillId="0" borderId="0" xfId="0" applyNumberFormat="1"/>
    <xf numFmtId="165" fontId="5" fillId="0" borderId="0" xfId="0" applyNumberFormat="1" applyFont="1"/>
    <xf numFmtId="165" fontId="6" fillId="0" borderId="0" xfId="0" applyNumberFormat="1" applyFont="1"/>
    <xf numFmtId="167" fontId="0" fillId="0" borderId="0" xfId="0" applyNumberFormat="1" applyAlignment="1">
      <alignment horizontal="right"/>
    </xf>
    <xf numFmtId="167" fontId="6" fillId="0" borderId="0" xfId="2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8" fillId="0" borderId="0" xfId="0" applyNumberFormat="1" applyFont="1" applyAlignment="1">
      <alignment horizontal="right"/>
    </xf>
    <xf numFmtId="165" fontId="0" fillId="0" borderId="0" xfId="0" applyNumberFormat="1" applyAlignment="1" applyProtection="1">
      <alignment vertical="top" wrapText="1"/>
      <protection locked="0"/>
    </xf>
    <xf numFmtId="165" fontId="9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1"/>
    <xf numFmtId="165" fontId="0" fillId="2" borderId="0" xfId="0" applyNumberFormat="1" applyFill="1"/>
    <xf numFmtId="168" fontId="0" fillId="0" borderId="0" xfId="0" applyNumberFormat="1"/>
  </cellXfs>
  <cellStyles count="4">
    <cellStyle name="Hyperlink" xfId="1" builtinId="8"/>
    <cellStyle name="Normal" xfId="0" builtinId="0"/>
    <cellStyle name="Normal 2" xfId="3" xr:uid="{1DDF6B38-43E5-4344-B428-7DD9E4618991}"/>
    <cellStyle name="Normal_Indices" xfId="2" xr:uid="{911822EC-E227-8248-9B00-08D362B0CC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rbsf.org/research-and-insights/data-and-indicators/proxy-funds-rate/" TargetMode="External"/><Relationship Id="rId1" Type="http://schemas.openxmlformats.org/officeDocument/2006/relationships/hyperlink" Target="https://www.mercadolaboral.pr.gov/Tablas_Estadisticas/Otras_Tablas/T_Indice_Precio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5820-AE3B-C04A-B42D-E207AB2B73CB}">
  <dimension ref="A1:D13"/>
  <sheetViews>
    <sheetView workbookViewId="0">
      <selection activeCell="A13" sqref="A13:D13"/>
    </sheetView>
  </sheetViews>
  <sheetFormatPr baseColWidth="10" defaultRowHeight="16" x14ac:dyDescent="0.2"/>
  <cols>
    <col min="1" max="1" width="89.1640625" customWidth="1"/>
    <col min="2" max="2" width="31.1640625" customWidth="1"/>
    <col min="3" max="3" width="48.83203125" customWidth="1"/>
  </cols>
  <sheetData>
    <row r="1" spans="1:4" x14ac:dyDescent="0.2">
      <c r="A1" s="1" t="s">
        <v>1</v>
      </c>
      <c r="B1" s="1" t="s">
        <v>6</v>
      </c>
      <c r="C1" s="1" t="s">
        <v>2</v>
      </c>
      <c r="D1" s="1" t="s">
        <v>3</v>
      </c>
    </row>
    <row r="2" spans="1:4" x14ac:dyDescent="0.2">
      <c r="A2" t="s">
        <v>16</v>
      </c>
      <c r="B2" t="s">
        <v>12</v>
      </c>
      <c r="C2" t="s">
        <v>13</v>
      </c>
      <c r="D2" t="s">
        <v>14</v>
      </c>
    </row>
    <row r="3" spans="1:4" x14ac:dyDescent="0.2">
      <c r="A3" t="s">
        <v>18</v>
      </c>
      <c r="B3" t="s">
        <v>19</v>
      </c>
      <c r="C3" t="s">
        <v>4</v>
      </c>
      <c r="D3" s="2" t="s">
        <v>5</v>
      </c>
    </row>
    <row r="4" spans="1:4" x14ac:dyDescent="0.2">
      <c r="A4" t="s">
        <v>8</v>
      </c>
      <c r="B4" t="s">
        <v>7</v>
      </c>
      <c r="C4" t="s">
        <v>11</v>
      </c>
      <c r="D4" s="18" t="s">
        <v>9</v>
      </c>
    </row>
    <row r="5" spans="1:4" x14ac:dyDescent="0.2">
      <c r="A5" t="s">
        <v>8</v>
      </c>
      <c r="B5" t="s">
        <v>10</v>
      </c>
      <c r="C5" t="s">
        <v>4</v>
      </c>
    </row>
    <row r="6" spans="1:4" x14ac:dyDescent="0.2">
      <c r="A6" t="s">
        <v>22</v>
      </c>
      <c r="B6" t="s">
        <v>20</v>
      </c>
      <c r="C6" t="s">
        <v>23</v>
      </c>
      <c r="D6" t="s">
        <v>24</v>
      </c>
    </row>
    <row r="7" spans="1:4" x14ac:dyDescent="0.2">
      <c r="A7" t="s">
        <v>22</v>
      </c>
      <c r="B7" t="s">
        <v>21</v>
      </c>
      <c r="C7" t="s">
        <v>4</v>
      </c>
    </row>
    <row r="8" spans="1:4" x14ac:dyDescent="0.2">
      <c r="A8" t="s">
        <v>31</v>
      </c>
      <c r="B8" t="s">
        <v>25</v>
      </c>
      <c r="C8" t="s">
        <v>13</v>
      </c>
      <c r="D8" t="s">
        <v>30</v>
      </c>
    </row>
    <row r="9" spans="1:4" x14ac:dyDescent="0.2">
      <c r="A9" t="s">
        <v>32</v>
      </c>
      <c r="B9" t="s">
        <v>26</v>
      </c>
      <c r="C9" t="s">
        <v>34</v>
      </c>
      <c r="D9" t="s">
        <v>29</v>
      </c>
    </row>
    <row r="10" spans="1:4" x14ac:dyDescent="0.2">
      <c r="A10" t="s">
        <v>33</v>
      </c>
      <c r="B10" t="s">
        <v>27</v>
      </c>
      <c r="C10" t="s">
        <v>35</v>
      </c>
      <c r="D10" t="s">
        <v>28</v>
      </c>
    </row>
    <row r="11" spans="1:4" x14ac:dyDescent="0.2">
      <c r="A11" t="s">
        <v>37</v>
      </c>
      <c r="B11" t="s">
        <v>36</v>
      </c>
      <c r="C11" t="s">
        <v>38</v>
      </c>
      <c r="D11" t="s">
        <v>39</v>
      </c>
    </row>
    <row r="12" spans="1:4" x14ac:dyDescent="0.2">
      <c r="A12" t="s">
        <v>40</v>
      </c>
      <c r="B12" t="s">
        <v>42</v>
      </c>
      <c r="C12" t="s">
        <v>13</v>
      </c>
      <c r="D12" t="s">
        <v>41</v>
      </c>
    </row>
    <row r="13" spans="1:4" x14ac:dyDescent="0.2">
      <c r="A13" t="s">
        <v>43</v>
      </c>
      <c r="B13" t="s">
        <v>44</v>
      </c>
      <c r="C13" t="s">
        <v>13</v>
      </c>
      <c r="D13" t="s">
        <v>45</v>
      </c>
    </row>
  </sheetData>
  <hyperlinks>
    <hyperlink ref="D3" r:id="rId1" xr:uid="{FE327D6E-69CE-7244-96E1-DB9CC1B267DC}"/>
    <hyperlink ref="D4" r:id="rId2" xr:uid="{15B7D25F-36B4-2B46-B411-BB892696AC8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80E3-252B-B14F-9697-E9BDBDFC092A}">
  <dimension ref="A1:N540"/>
  <sheetViews>
    <sheetView workbookViewId="0">
      <selection activeCell="F500" sqref="F500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12</v>
      </c>
      <c r="C1" s="1" t="s">
        <v>15</v>
      </c>
      <c r="D1" s="1" t="s">
        <v>7</v>
      </c>
      <c r="E1" s="1" t="s">
        <v>10</v>
      </c>
      <c r="F1" s="1" t="s">
        <v>17</v>
      </c>
      <c r="G1" s="1" t="s">
        <v>20</v>
      </c>
      <c r="H1" s="1" t="s">
        <v>21</v>
      </c>
      <c r="I1" s="1" t="s">
        <v>25</v>
      </c>
      <c r="J1" s="1" t="s">
        <v>26</v>
      </c>
      <c r="K1" s="1" t="s">
        <v>27</v>
      </c>
      <c r="L1" s="1" t="s">
        <v>36</v>
      </c>
      <c r="M1" s="1" t="s">
        <v>42</v>
      </c>
      <c r="N1" s="1" t="s">
        <v>44</v>
      </c>
    </row>
    <row r="2" spans="1:14" x14ac:dyDescent="0.2">
      <c r="A2" s="4">
        <v>30682</v>
      </c>
      <c r="B2" s="5">
        <v>212.74510000000001</v>
      </c>
      <c r="C2" s="9">
        <v>58.944500000000005</v>
      </c>
      <c r="D2">
        <v>9.6279458594736376</v>
      </c>
      <c r="E2">
        <f>(D2 / $D$277) * 100</f>
        <v>185.44426893404579</v>
      </c>
      <c r="F2" s="9">
        <v>62.970999999999997</v>
      </c>
      <c r="H2">
        <f>(G2 / G$277) * 100</f>
        <v>0</v>
      </c>
      <c r="I2" s="5">
        <v>181.81818000000001</v>
      </c>
      <c r="J2" s="5">
        <v>50.270800000000001</v>
      </c>
      <c r="K2" s="5">
        <v>178.03734</v>
      </c>
      <c r="L2" s="5">
        <v>47.863939999999999</v>
      </c>
      <c r="M2" s="5">
        <v>49.969619999999999</v>
      </c>
      <c r="N2">
        <v>58.797015779282432</v>
      </c>
    </row>
    <row r="3" spans="1:14" x14ac:dyDescent="0.2">
      <c r="A3" s="4">
        <v>30713</v>
      </c>
      <c r="B3" s="5">
        <v>208.82353000000001</v>
      </c>
      <c r="C3" s="9">
        <v>59.013999999999996</v>
      </c>
      <c r="D3">
        <v>9.5495241379982669</v>
      </c>
      <c r="E3">
        <f t="shared" ref="E3:E66" si="0">(D3 / $D$277) * 100</f>
        <v>183.9337848682012</v>
      </c>
      <c r="F3" s="9">
        <v>62.877000000000002</v>
      </c>
      <c r="H3">
        <f t="shared" ref="H3:H66" si="1">(G3 / G$277) * 100</f>
        <v>0</v>
      </c>
      <c r="I3" s="5">
        <v>177.27273</v>
      </c>
      <c r="J3" s="5">
        <v>50.51699</v>
      </c>
      <c r="K3" s="5">
        <v>169.96141</v>
      </c>
      <c r="L3" s="5">
        <v>48.597450000000002</v>
      </c>
      <c r="M3" s="5">
        <v>50.273389999999999</v>
      </c>
      <c r="N3">
        <v>59.101739841716139</v>
      </c>
    </row>
    <row r="4" spans="1:14" x14ac:dyDescent="0.2">
      <c r="A4" s="4">
        <v>30742</v>
      </c>
      <c r="B4" s="5">
        <v>205.88235</v>
      </c>
      <c r="C4" s="9">
        <v>59.102499999999999</v>
      </c>
      <c r="D4">
        <v>9.7558974920012229</v>
      </c>
      <c r="E4">
        <f t="shared" si="0"/>
        <v>187.90875069363611</v>
      </c>
      <c r="F4" s="9">
        <v>63.015000000000001</v>
      </c>
      <c r="H4">
        <f t="shared" si="1"/>
        <v>0</v>
      </c>
      <c r="I4" s="5">
        <v>177.27273</v>
      </c>
      <c r="J4" s="5">
        <v>50.664700000000003</v>
      </c>
      <c r="K4" s="5">
        <v>143.94273000000001</v>
      </c>
      <c r="L4" s="5">
        <v>49.590519999999998</v>
      </c>
      <c r="M4" s="5">
        <v>50.506279999999997</v>
      </c>
      <c r="N4">
        <v>59.369979412609432</v>
      </c>
    </row>
    <row r="5" spans="1:14" x14ac:dyDescent="0.2">
      <c r="A5" s="4">
        <v>30773</v>
      </c>
      <c r="B5" s="5">
        <v>203.92157</v>
      </c>
      <c r="C5" s="9">
        <v>59.150500000000001</v>
      </c>
      <c r="D5">
        <v>10.155588011067733</v>
      </c>
      <c r="E5">
        <f t="shared" si="0"/>
        <v>195.6072065418507</v>
      </c>
      <c r="F5" s="9">
        <v>63.194000000000003</v>
      </c>
      <c r="H5">
        <f t="shared" si="1"/>
        <v>0</v>
      </c>
      <c r="I5" s="5">
        <v>175</v>
      </c>
      <c r="J5" s="5">
        <v>50.861640000000001</v>
      </c>
      <c r="K5" s="5">
        <v>164.14152999999999</v>
      </c>
      <c r="L5" s="5">
        <v>49.359990000000003</v>
      </c>
      <c r="M5" s="5">
        <v>50.759419999999999</v>
      </c>
      <c r="N5">
        <v>59.741568534939269</v>
      </c>
    </row>
    <row r="6" spans="1:14" x14ac:dyDescent="0.2">
      <c r="A6" s="4">
        <v>30803</v>
      </c>
      <c r="B6" s="5">
        <v>201.96078</v>
      </c>
      <c r="C6" s="9">
        <v>59.2485</v>
      </c>
      <c r="D6">
        <v>10.460964070891118</v>
      </c>
      <c r="E6">
        <f t="shared" si="0"/>
        <v>201.48906763563573</v>
      </c>
      <c r="F6" s="9">
        <v>63.302999999999997</v>
      </c>
      <c r="H6">
        <f t="shared" si="1"/>
        <v>0</v>
      </c>
      <c r="I6" s="5">
        <v>168.18181999999999</v>
      </c>
      <c r="J6" s="5">
        <v>50.960120000000003</v>
      </c>
      <c r="K6" s="5">
        <v>124.65407</v>
      </c>
      <c r="L6" s="5">
        <v>49.201999999999998</v>
      </c>
      <c r="M6" s="5">
        <v>51.042929999999998</v>
      </c>
      <c r="N6">
        <v>60.153549676268227</v>
      </c>
    </row>
    <row r="7" spans="1:14" x14ac:dyDescent="0.2">
      <c r="A7" s="4">
        <v>30834</v>
      </c>
      <c r="B7" s="5">
        <v>201.96078</v>
      </c>
      <c r="C7" s="9">
        <v>59.283500000000004</v>
      </c>
      <c r="D7">
        <v>11.350892684115157</v>
      </c>
      <c r="E7">
        <f t="shared" si="0"/>
        <v>218.63001997288163</v>
      </c>
      <c r="F7" s="9">
        <v>63.396999999999998</v>
      </c>
      <c r="H7">
        <f t="shared" si="1"/>
        <v>0</v>
      </c>
      <c r="I7" s="5">
        <v>163.63636</v>
      </c>
      <c r="J7" s="5">
        <v>51.058590000000002</v>
      </c>
      <c r="K7" s="5">
        <v>166.58958000000001</v>
      </c>
      <c r="L7" s="5">
        <v>48.310490000000001</v>
      </c>
      <c r="M7" s="5">
        <v>51.316319999999997</v>
      </c>
      <c r="N7">
        <v>60.140189275009149</v>
      </c>
    </row>
    <row r="8" spans="1:14" x14ac:dyDescent="0.2">
      <c r="A8" s="4">
        <v>30864</v>
      </c>
      <c r="B8" s="5">
        <v>200.98039</v>
      </c>
      <c r="C8" s="9">
        <v>59.283499999999997</v>
      </c>
      <c r="D8">
        <v>11.861947505639533</v>
      </c>
      <c r="E8">
        <f t="shared" si="0"/>
        <v>228.47346832064665</v>
      </c>
      <c r="F8" s="9">
        <v>63.77</v>
      </c>
      <c r="H8">
        <f t="shared" si="1"/>
        <v>0</v>
      </c>
      <c r="I8" s="5">
        <v>170.45455000000001</v>
      </c>
      <c r="J8" s="5">
        <v>51.255540000000003</v>
      </c>
      <c r="K8" s="5">
        <v>172.79862</v>
      </c>
      <c r="L8" s="5">
        <v>46.351770000000002</v>
      </c>
      <c r="M8" s="5">
        <v>51.468209999999999</v>
      </c>
      <c r="N8">
        <v>60.135745936858633</v>
      </c>
    </row>
    <row r="9" spans="1:14" x14ac:dyDescent="0.2">
      <c r="A9" s="4">
        <v>30895</v>
      </c>
      <c r="B9" s="5">
        <v>200</v>
      </c>
      <c r="C9" s="9">
        <v>59.282499999999999</v>
      </c>
      <c r="D9">
        <v>11.992331120443422</v>
      </c>
      <c r="E9">
        <f t="shared" si="0"/>
        <v>230.98479259284267</v>
      </c>
      <c r="F9" s="9">
        <v>63.792999999999999</v>
      </c>
      <c r="H9">
        <f t="shared" si="1"/>
        <v>0</v>
      </c>
      <c r="I9" s="5">
        <v>170.45455000000001</v>
      </c>
      <c r="J9" s="5">
        <v>51.40325</v>
      </c>
      <c r="K9" s="5">
        <v>172.12357</v>
      </c>
      <c r="L9" s="5">
        <v>47.154600000000002</v>
      </c>
      <c r="M9" s="5">
        <v>51.680840000000003</v>
      </c>
      <c r="N9">
        <v>60.268701665661474</v>
      </c>
    </row>
    <row r="10" spans="1:14" x14ac:dyDescent="0.2">
      <c r="A10" s="4">
        <v>30926</v>
      </c>
      <c r="B10" s="5">
        <v>199.01961</v>
      </c>
      <c r="C10" s="9">
        <v>59.415999999999997</v>
      </c>
      <c r="D10">
        <v>11.799317306562642</v>
      </c>
      <c r="E10">
        <f t="shared" si="0"/>
        <v>227.26714542991502</v>
      </c>
      <c r="F10" s="9">
        <v>63.640999999999998</v>
      </c>
      <c r="H10">
        <f t="shared" si="1"/>
        <v>0</v>
      </c>
      <c r="I10" s="5">
        <v>165.90908999999999</v>
      </c>
      <c r="J10" s="5">
        <v>51.550960000000003</v>
      </c>
      <c r="K10" s="5">
        <v>164.2561</v>
      </c>
      <c r="L10" s="5">
        <v>47.252940000000002</v>
      </c>
      <c r="M10" s="5">
        <v>51.923859999999998</v>
      </c>
      <c r="N10">
        <v>60.385669261830756</v>
      </c>
    </row>
    <row r="11" spans="1:14" x14ac:dyDescent="0.2">
      <c r="A11" s="4">
        <v>30956</v>
      </c>
      <c r="B11" s="5">
        <v>198.03922</v>
      </c>
      <c r="C11" s="9">
        <v>59.390500000000003</v>
      </c>
      <c r="D11">
        <v>11.043597848912441</v>
      </c>
      <c r="E11">
        <f t="shared" si="0"/>
        <v>212.71120126605402</v>
      </c>
      <c r="F11" s="9">
        <v>63.466999999999999</v>
      </c>
      <c r="H11">
        <f t="shared" si="1"/>
        <v>0</v>
      </c>
      <c r="I11" s="5">
        <v>168.18181999999999</v>
      </c>
      <c r="J11" s="5">
        <v>51.747909999999997</v>
      </c>
      <c r="K11" s="5">
        <v>128.28745000000001</v>
      </c>
      <c r="L11" s="5">
        <v>46.372720000000001</v>
      </c>
      <c r="M11" s="5">
        <v>52.09599</v>
      </c>
      <c r="N11">
        <v>60.675028561846155</v>
      </c>
    </row>
    <row r="12" spans="1:14" x14ac:dyDescent="0.2">
      <c r="A12" s="4">
        <v>30987</v>
      </c>
      <c r="B12" s="5">
        <v>199.01961</v>
      </c>
      <c r="C12" s="9">
        <v>59.535499999999999</v>
      </c>
      <c r="D12">
        <v>9.8914347282374173</v>
      </c>
      <c r="E12">
        <f t="shared" si="0"/>
        <v>190.51933908434981</v>
      </c>
      <c r="F12" s="9">
        <v>63.506</v>
      </c>
      <c r="H12">
        <f t="shared" si="1"/>
        <v>0</v>
      </c>
      <c r="I12" s="5">
        <v>163.63636</v>
      </c>
      <c r="J12" s="5">
        <v>51.846380000000003</v>
      </c>
      <c r="K12" s="5">
        <v>95.688159999999996</v>
      </c>
      <c r="L12" s="5">
        <v>45.297440000000002</v>
      </c>
      <c r="M12" s="5">
        <v>52.359250000000003</v>
      </c>
      <c r="N12">
        <v>60.559392468950357</v>
      </c>
    </row>
    <row r="13" spans="1:14" x14ac:dyDescent="0.2">
      <c r="A13" s="4">
        <v>31017</v>
      </c>
      <c r="B13" s="5">
        <v>201.96078</v>
      </c>
      <c r="C13" s="9">
        <v>59.460999999999999</v>
      </c>
      <c r="D13">
        <v>8.8665074358606599</v>
      </c>
      <c r="E13">
        <f t="shared" si="0"/>
        <v>170.77817152695874</v>
      </c>
      <c r="F13" s="9">
        <v>63.26</v>
      </c>
      <c r="H13">
        <f t="shared" si="1"/>
        <v>0</v>
      </c>
      <c r="I13" s="5">
        <v>165.90908999999999</v>
      </c>
      <c r="J13" s="5">
        <v>51.944850000000002</v>
      </c>
      <c r="K13" s="5">
        <v>129.15993</v>
      </c>
      <c r="L13" s="5">
        <v>40.994680000000002</v>
      </c>
      <c r="M13" s="5">
        <v>52.480759999999997</v>
      </c>
      <c r="N13">
        <v>60.792489805119011</v>
      </c>
    </row>
    <row r="14" spans="1:14" x14ac:dyDescent="0.2">
      <c r="A14" s="4">
        <v>31048</v>
      </c>
      <c r="B14" s="5">
        <v>206.86275000000001</v>
      </c>
      <c r="C14" s="9">
        <v>59.430499999999995</v>
      </c>
      <c r="D14">
        <v>8.5988018379877751</v>
      </c>
      <c r="E14">
        <f t="shared" si="0"/>
        <v>165.62188278046148</v>
      </c>
      <c r="F14" s="9">
        <v>63.298999999999999</v>
      </c>
      <c r="H14">
        <f t="shared" si="1"/>
        <v>0</v>
      </c>
      <c r="I14" s="5">
        <v>165.90908999999999</v>
      </c>
      <c r="J14" s="5">
        <v>52.043329999999997</v>
      </c>
      <c r="K14" s="5">
        <v>112.81784</v>
      </c>
      <c r="L14" s="5">
        <v>41.336449999999999</v>
      </c>
      <c r="M14" s="5">
        <v>52.67315</v>
      </c>
      <c r="N14">
        <v>60.86554905496736</v>
      </c>
    </row>
    <row r="15" spans="1:14" x14ac:dyDescent="0.2">
      <c r="A15" s="4">
        <v>31079</v>
      </c>
      <c r="B15" s="5">
        <v>212.74510000000001</v>
      </c>
      <c r="C15" s="9">
        <v>59.347000000000001</v>
      </c>
      <c r="D15">
        <v>8.6757180115269534</v>
      </c>
      <c r="E15">
        <f t="shared" si="0"/>
        <v>167.103368424374</v>
      </c>
      <c r="F15" s="9">
        <v>63.246000000000002</v>
      </c>
      <c r="H15">
        <f t="shared" si="1"/>
        <v>0</v>
      </c>
      <c r="I15" s="5">
        <v>163.63636</v>
      </c>
      <c r="J15" s="5">
        <v>52.338749999999997</v>
      </c>
      <c r="K15" s="5">
        <v>205.58803</v>
      </c>
      <c r="L15" s="5">
        <v>43.964210000000001</v>
      </c>
      <c r="M15" s="5">
        <v>52.835160000000002</v>
      </c>
      <c r="N15">
        <v>60.941909764501233</v>
      </c>
    </row>
    <row r="16" spans="1:14" x14ac:dyDescent="0.2">
      <c r="A16" s="4">
        <v>31107</v>
      </c>
      <c r="B16" s="5">
        <v>218.62745000000001</v>
      </c>
      <c r="C16" s="9">
        <v>59.631500000000003</v>
      </c>
      <c r="D16">
        <v>9.2112942265294464</v>
      </c>
      <c r="E16">
        <f t="shared" si="0"/>
        <v>177.41912436019211</v>
      </c>
      <c r="F16" s="9">
        <v>63.493000000000002</v>
      </c>
      <c r="H16">
        <f t="shared" si="1"/>
        <v>0</v>
      </c>
      <c r="I16" s="5">
        <v>163.63636</v>
      </c>
      <c r="J16" s="5">
        <v>52.58493</v>
      </c>
      <c r="K16" s="5">
        <v>172.96853999999999</v>
      </c>
      <c r="L16" s="5">
        <v>45.523130000000002</v>
      </c>
      <c r="M16" s="5">
        <v>53.047789999999999</v>
      </c>
      <c r="N16">
        <v>60.883226584074038</v>
      </c>
    </row>
    <row r="17" spans="1:14" x14ac:dyDescent="0.2">
      <c r="A17" s="4">
        <v>31138</v>
      </c>
      <c r="B17" s="5">
        <v>221.56863000000001</v>
      </c>
      <c r="C17" s="9">
        <v>59.926000000000002</v>
      </c>
      <c r="D17">
        <v>8.9181759001970669</v>
      </c>
      <c r="E17">
        <f t="shared" si="0"/>
        <v>171.77335998518856</v>
      </c>
      <c r="F17" s="9">
        <v>63.622</v>
      </c>
      <c r="H17">
        <f t="shared" si="1"/>
        <v>0</v>
      </c>
      <c r="I17" s="5">
        <v>165.90908999999999</v>
      </c>
      <c r="J17" s="5">
        <v>52.683410000000002</v>
      </c>
      <c r="K17" s="5">
        <v>164.87028000000001</v>
      </c>
      <c r="L17" s="5">
        <v>46.43721</v>
      </c>
      <c r="M17" s="5">
        <v>53.189549999999997</v>
      </c>
      <c r="N17">
        <v>60.75979621186454</v>
      </c>
    </row>
    <row r="18" spans="1:14" x14ac:dyDescent="0.2">
      <c r="A18" s="4">
        <v>31168</v>
      </c>
      <c r="B18" s="5">
        <v>222.54902000000001</v>
      </c>
      <c r="C18" s="9">
        <v>60.008499999999998</v>
      </c>
      <c r="D18">
        <v>8.4506661424573828</v>
      </c>
      <c r="E18">
        <f t="shared" si="0"/>
        <v>162.76863493698309</v>
      </c>
      <c r="F18" s="9">
        <v>63.737000000000002</v>
      </c>
      <c r="H18">
        <f t="shared" si="1"/>
        <v>0</v>
      </c>
      <c r="I18" s="5">
        <v>163.63636</v>
      </c>
      <c r="J18" s="5">
        <v>52.781880000000001</v>
      </c>
      <c r="K18" s="5">
        <v>121.33687999999999</v>
      </c>
      <c r="L18" s="5">
        <v>44.531680000000001</v>
      </c>
      <c r="M18" s="5">
        <v>53.402189999999997</v>
      </c>
      <c r="N18">
        <v>61.04021372036059</v>
      </c>
    </row>
    <row r="19" spans="1:14" x14ac:dyDescent="0.2">
      <c r="A19" s="4">
        <v>31199</v>
      </c>
      <c r="B19" s="5">
        <v>220.58824000000001</v>
      </c>
      <c r="C19" s="9">
        <v>60.145499999999998</v>
      </c>
      <c r="D19">
        <v>7.8072857131218756</v>
      </c>
      <c r="E19">
        <f t="shared" si="0"/>
        <v>150.37645750827468</v>
      </c>
      <c r="F19" s="9">
        <v>63.572000000000003</v>
      </c>
      <c r="H19">
        <f t="shared" si="1"/>
        <v>0</v>
      </c>
      <c r="I19" s="5">
        <v>168.18181999999999</v>
      </c>
      <c r="J19" s="5">
        <v>52.929589999999997</v>
      </c>
      <c r="K19" s="5">
        <v>181.1515</v>
      </c>
      <c r="L19" s="5">
        <v>43.757860000000001</v>
      </c>
      <c r="M19" s="5">
        <v>53.503439999999998</v>
      </c>
      <c r="N19">
        <v>60.959509659287207</v>
      </c>
    </row>
    <row r="20" spans="1:14" x14ac:dyDescent="0.2">
      <c r="A20" s="4">
        <v>31229</v>
      </c>
      <c r="B20" s="5">
        <v>216.66667000000001</v>
      </c>
      <c r="C20" s="9">
        <v>60.162999999999997</v>
      </c>
      <c r="D20">
        <v>7.5421643675693906</v>
      </c>
      <c r="E20">
        <f t="shared" si="0"/>
        <v>145.26994415408774</v>
      </c>
      <c r="F20" s="9">
        <v>63.451000000000001</v>
      </c>
      <c r="H20">
        <f t="shared" si="1"/>
        <v>0</v>
      </c>
      <c r="I20" s="5">
        <v>168.18181999999999</v>
      </c>
      <c r="J20" s="5">
        <v>53.028060000000004</v>
      </c>
      <c r="K20" s="5">
        <v>89.210859999999997</v>
      </c>
      <c r="L20" s="5">
        <v>44.05771</v>
      </c>
      <c r="M20" s="5">
        <v>53.675579999999997</v>
      </c>
      <c r="N20">
        <v>60.71772811865597</v>
      </c>
    </row>
    <row r="21" spans="1:14" x14ac:dyDescent="0.2">
      <c r="A21" s="4">
        <v>31260</v>
      </c>
      <c r="B21" s="5">
        <v>212.74510000000001</v>
      </c>
      <c r="C21" s="9">
        <v>60.169499999999999</v>
      </c>
      <c r="D21">
        <v>7.8742937491856395</v>
      </c>
      <c r="E21">
        <f t="shared" si="0"/>
        <v>151.66710210078907</v>
      </c>
      <c r="F21" s="9">
        <v>63.52</v>
      </c>
      <c r="H21">
        <f t="shared" si="1"/>
        <v>0</v>
      </c>
      <c r="I21" s="5">
        <v>161.36364</v>
      </c>
      <c r="J21" s="5">
        <v>53.126539999999999</v>
      </c>
      <c r="K21" s="5">
        <v>126.93365</v>
      </c>
      <c r="L21" s="5">
        <v>44.744480000000003</v>
      </c>
      <c r="M21" s="5">
        <v>53.888210000000001</v>
      </c>
      <c r="N21">
        <v>60.497613612320499</v>
      </c>
    </row>
    <row r="22" spans="1:14" x14ac:dyDescent="0.2">
      <c r="A22" s="4">
        <v>31291</v>
      </c>
      <c r="B22" s="5">
        <v>208.82353000000001</v>
      </c>
      <c r="C22" s="9">
        <v>60.120999999999995</v>
      </c>
      <c r="D22">
        <v>7.8433424539697461</v>
      </c>
      <c r="E22">
        <f t="shared" si="0"/>
        <v>151.07094790573555</v>
      </c>
      <c r="F22" s="9">
        <v>63.584000000000003</v>
      </c>
      <c r="H22">
        <f t="shared" si="1"/>
        <v>0</v>
      </c>
      <c r="I22" s="5">
        <v>161.36364</v>
      </c>
      <c r="J22" s="5">
        <v>53.225009999999997</v>
      </c>
      <c r="K22" s="5">
        <v>126.56574000000001</v>
      </c>
      <c r="L22" s="5">
        <v>45.605350000000001</v>
      </c>
      <c r="M22" s="5">
        <v>54.050220000000003</v>
      </c>
      <c r="N22">
        <v>60.699870202727226</v>
      </c>
    </row>
    <row r="23" spans="1:14" x14ac:dyDescent="0.2">
      <c r="A23" s="4">
        <v>31321</v>
      </c>
      <c r="B23" s="5">
        <v>205.88235</v>
      </c>
      <c r="C23" s="9">
        <v>60.219499999999996</v>
      </c>
      <c r="D23">
        <v>7.8123750926856372</v>
      </c>
      <c r="E23">
        <f t="shared" si="0"/>
        <v>150.47448426146846</v>
      </c>
      <c r="F23" s="9">
        <v>63.514000000000003</v>
      </c>
      <c r="H23">
        <f t="shared" si="1"/>
        <v>0</v>
      </c>
      <c r="I23" s="5">
        <v>161.36364</v>
      </c>
      <c r="J23" s="5">
        <v>53.421959999999999</v>
      </c>
      <c r="K23" s="5">
        <v>127.05175</v>
      </c>
      <c r="L23" s="5">
        <v>47.61889</v>
      </c>
      <c r="M23" s="5">
        <v>54.212229999999998</v>
      </c>
      <c r="N23">
        <v>60.851773585184844</v>
      </c>
    </row>
    <row r="24" spans="1:14" x14ac:dyDescent="0.2">
      <c r="A24" s="4">
        <v>31352</v>
      </c>
      <c r="B24" s="5">
        <v>202.94118</v>
      </c>
      <c r="C24" s="9">
        <v>60.168499999999995</v>
      </c>
      <c r="D24">
        <v>7.8400097496685861</v>
      </c>
      <c r="E24">
        <f t="shared" si="0"/>
        <v>151.00675654843855</v>
      </c>
      <c r="F24" s="9">
        <v>63.396000000000001</v>
      </c>
      <c r="H24">
        <f t="shared" si="1"/>
        <v>0</v>
      </c>
      <c r="I24" s="5">
        <v>159.09091000000001</v>
      </c>
      <c r="J24" s="5">
        <v>53.668140000000001</v>
      </c>
      <c r="K24" s="5">
        <v>197.83330000000001</v>
      </c>
      <c r="L24" s="5">
        <v>49.674349999999997</v>
      </c>
      <c r="M24" s="5">
        <v>54.404620000000001</v>
      </c>
      <c r="N24">
        <v>61.124779634335049</v>
      </c>
    </row>
    <row r="25" spans="1:14" x14ac:dyDescent="0.2">
      <c r="A25" s="4">
        <v>31382</v>
      </c>
      <c r="B25" s="5">
        <v>200.98039</v>
      </c>
      <c r="C25" s="9">
        <v>60.226500000000001</v>
      </c>
      <c r="D25">
        <v>7.4650611044863338</v>
      </c>
      <c r="E25">
        <f t="shared" si="0"/>
        <v>143.78485497062522</v>
      </c>
      <c r="F25" s="9">
        <v>63.369</v>
      </c>
      <c r="H25">
        <f t="shared" si="1"/>
        <v>0</v>
      </c>
      <c r="I25" s="5">
        <v>159.09091000000001</v>
      </c>
      <c r="J25" s="5">
        <v>53.91433</v>
      </c>
      <c r="K25" s="5">
        <v>113.12115</v>
      </c>
      <c r="L25" s="5">
        <v>43.894889999999997</v>
      </c>
      <c r="M25" s="5">
        <v>54.5565</v>
      </c>
      <c r="N25">
        <v>61.325883141654458</v>
      </c>
    </row>
    <row r="26" spans="1:14" x14ac:dyDescent="0.2">
      <c r="A26" s="4">
        <v>31413</v>
      </c>
      <c r="B26" s="5">
        <v>199.01961</v>
      </c>
      <c r="C26" s="9">
        <v>60.232500000000002</v>
      </c>
      <c r="D26">
        <v>7.3054685535789252</v>
      </c>
      <c r="E26">
        <f t="shared" si="0"/>
        <v>140.71093615530256</v>
      </c>
      <c r="F26" s="9">
        <v>63.472999999999999</v>
      </c>
      <c r="H26">
        <f t="shared" si="1"/>
        <v>0</v>
      </c>
      <c r="I26" s="5">
        <v>152.27273</v>
      </c>
      <c r="J26" s="5">
        <v>54.111280000000001</v>
      </c>
      <c r="K26" s="5">
        <v>162.29040000000001</v>
      </c>
      <c r="L26" s="5">
        <v>36.990169999999999</v>
      </c>
      <c r="M26" s="5">
        <v>54.76914</v>
      </c>
      <c r="N26">
        <v>62.058657494919665</v>
      </c>
    </row>
    <row r="27" spans="1:14" x14ac:dyDescent="0.2">
      <c r="A27" s="4">
        <v>31444</v>
      </c>
      <c r="B27" s="5">
        <v>197.05882</v>
      </c>
      <c r="C27" s="9">
        <v>62.197000000000003</v>
      </c>
      <c r="D27">
        <v>7.7339128124111474</v>
      </c>
      <c r="E27">
        <f t="shared" si="0"/>
        <v>148.96321899089324</v>
      </c>
      <c r="F27" s="9">
        <v>63.783999999999999</v>
      </c>
      <c r="H27">
        <f t="shared" si="1"/>
        <v>0</v>
      </c>
      <c r="I27" s="5">
        <v>163.63636</v>
      </c>
      <c r="J27" s="5">
        <v>54.012799999999999</v>
      </c>
      <c r="K27" s="5">
        <v>116.31395999999999</v>
      </c>
      <c r="L27" s="5">
        <v>24.894410000000001</v>
      </c>
      <c r="M27" s="5">
        <v>54.779260000000001</v>
      </c>
      <c r="N27">
        <v>62.417027625853436</v>
      </c>
    </row>
    <row r="28" spans="1:14" x14ac:dyDescent="0.2">
      <c r="A28" s="4">
        <v>31472</v>
      </c>
      <c r="B28" s="5">
        <v>196.07843</v>
      </c>
      <c r="C28" s="9">
        <v>61.986500000000007</v>
      </c>
      <c r="D28">
        <v>7.3665777087247521</v>
      </c>
      <c r="E28">
        <f t="shared" si="0"/>
        <v>141.88796215509507</v>
      </c>
      <c r="F28" s="9">
        <v>63.234000000000002</v>
      </c>
      <c r="H28">
        <f t="shared" si="1"/>
        <v>0</v>
      </c>
      <c r="I28" s="5">
        <v>163.63636</v>
      </c>
      <c r="J28" s="5">
        <v>53.717379999999999</v>
      </c>
      <c r="K28" s="5">
        <v>160.95296999999999</v>
      </c>
      <c r="L28" s="5">
        <v>20.34177</v>
      </c>
      <c r="M28" s="5">
        <v>54.921019999999999</v>
      </c>
      <c r="N28">
        <v>62.753887118002915</v>
      </c>
    </row>
    <row r="29" spans="1:14" x14ac:dyDescent="0.2">
      <c r="A29" s="4">
        <v>31503</v>
      </c>
      <c r="B29" s="5">
        <v>194.11765</v>
      </c>
      <c r="C29" s="9">
        <v>62.037500000000001</v>
      </c>
      <c r="D29">
        <v>7.0903471903343451</v>
      </c>
      <c r="E29">
        <f t="shared" si="0"/>
        <v>136.56747455702896</v>
      </c>
      <c r="F29" s="9">
        <v>62.893999999999998</v>
      </c>
      <c r="H29">
        <f t="shared" si="1"/>
        <v>0</v>
      </c>
      <c r="I29" s="5">
        <v>161.36364</v>
      </c>
      <c r="J29" s="5">
        <v>53.520429999999998</v>
      </c>
      <c r="K29" s="5">
        <v>152.98305999999999</v>
      </c>
      <c r="L29" s="5">
        <v>20.71095</v>
      </c>
      <c r="M29" s="5">
        <v>55.093159999999997</v>
      </c>
      <c r="N29">
        <v>63.043897730427304</v>
      </c>
    </row>
    <row r="30" spans="1:14" x14ac:dyDescent="0.2">
      <c r="A30" s="4">
        <v>31533</v>
      </c>
      <c r="B30" s="5">
        <v>191.17646999999999</v>
      </c>
      <c r="C30" s="9">
        <v>61.861000000000004</v>
      </c>
      <c r="D30">
        <v>7.1924290575744285</v>
      </c>
      <c r="E30">
        <f t="shared" si="0"/>
        <v>138.5336776826035</v>
      </c>
      <c r="F30" s="9">
        <v>62.856999999999999</v>
      </c>
      <c r="H30">
        <f t="shared" si="1"/>
        <v>0</v>
      </c>
      <c r="I30" s="5">
        <v>163.63636</v>
      </c>
      <c r="J30" s="5">
        <v>53.668140000000001</v>
      </c>
      <c r="K30" s="5">
        <v>82.294439999999994</v>
      </c>
      <c r="L30" s="5">
        <v>24.897629999999999</v>
      </c>
      <c r="M30" s="5">
        <v>55.204540000000001</v>
      </c>
      <c r="N30">
        <v>63.300336181978722</v>
      </c>
    </row>
    <row r="31" spans="1:14" x14ac:dyDescent="0.2">
      <c r="A31" s="4">
        <v>31564</v>
      </c>
      <c r="B31" s="5">
        <v>187.25489999999999</v>
      </c>
      <c r="C31" s="9">
        <v>61.349500000000006</v>
      </c>
      <c r="D31">
        <v>7.6545881148713963</v>
      </c>
      <c r="E31">
        <f t="shared" si="0"/>
        <v>147.43534266520754</v>
      </c>
      <c r="F31" s="9">
        <v>63.165999999999997</v>
      </c>
      <c r="H31">
        <f t="shared" si="1"/>
        <v>0</v>
      </c>
      <c r="I31" s="5">
        <v>163.63636</v>
      </c>
      <c r="J31" s="5">
        <v>53.865090000000002</v>
      </c>
      <c r="K31" s="5">
        <v>124.53604</v>
      </c>
      <c r="L31" s="5">
        <v>21.71369</v>
      </c>
      <c r="M31" s="5">
        <v>55.285539999999997</v>
      </c>
      <c r="N31">
        <v>63.794404544825248</v>
      </c>
    </row>
    <row r="32" spans="1:14" x14ac:dyDescent="0.2">
      <c r="A32" s="4">
        <v>31594</v>
      </c>
      <c r="B32" s="5">
        <v>182.35293999999999</v>
      </c>
      <c r="C32" s="9">
        <v>60.905999999999999</v>
      </c>
      <c r="D32">
        <v>7.4456116137477037</v>
      </c>
      <c r="E32">
        <f t="shared" si="0"/>
        <v>143.41023751392072</v>
      </c>
      <c r="F32" s="9">
        <v>63.356000000000002</v>
      </c>
      <c r="H32">
        <f t="shared" si="1"/>
        <v>0</v>
      </c>
      <c r="I32" s="5">
        <v>159.09091000000001</v>
      </c>
      <c r="J32" s="5">
        <v>53.91433</v>
      </c>
      <c r="K32" s="5">
        <v>147.47891000000001</v>
      </c>
      <c r="L32" s="5">
        <v>18.660329999999998</v>
      </c>
      <c r="M32" s="5">
        <v>55.518430000000002</v>
      </c>
      <c r="N32">
        <v>64.196184307489474</v>
      </c>
    </row>
    <row r="33" spans="1:14" x14ac:dyDescent="0.2">
      <c r="A33" s="4">
        <v>31625</v>
      </c>
      <c r="B33" s="5">
        <v>178.43136999999999</v>
      </c>
      <c r="C33" s="9">
        <v>60.9255</v>
      </c>
      <c r="D33">
        <v>6.8672754732881485</v>
      </c>
      <c r="E33">
        <f t="shared" si="0"/>
        <v>132.27088086079522</v>
      </c>
      <c r="F33" s="9">
        <v>63.036999999999999</v>
      </c>
      <c r="H33">
        <f t="shared" si="1"/>
        <v>0</v>
      </c>
      <c r="I33" s="5">
        <v>156.81818000000001</v>
      </c>
      <c r="J33" s="5">
        <v>53.963560000000001</v>
      </c>
      <c r="K33" s="5">
        <v>120.4479</v>
      </c>
      <c r="L33" s="5">
        <v>24.330159999999999</v>
      </c>
      <c r="M33" s="5">
        <v>55.66019</v>
      </c>
      <c r="N33">
        <v>64.501459113612427</v>
      </c>
    </row>
    <row r="34" spans="1:14" x14ac:dyDescent="0.2">
      <c r="A34" s="4">
        <v>31656</v>
      </c>
      <c r="B34" s="5">
        <v>176.47058999999999</v>
      </c>
      <c r="C34" s="9">
        <v>60.540999999999997</v>
      </c>
      <c r="D34">
        <v>6.3115202365701766</v>
      </c>
      <c r="E34">
        <f t="shared" si="0"/>
        <v>121.56645594153561</v>
      </c>
      <c r="F34" s="9">
        <v>63.475999999999999</v>
      </c>
      <c r="H34">
        <f t="shared" si="1"/>
        <v>0</v>
      </c>
      <c r="I34" s="5">
        <v>159.09091000000001</v>
      </c>
      <c r="J34" s="5">
        <v>54.160510000000002</v>
      </c>
      <c r="K34" s="5">
        <v>146.8125</v>
      </c>
      <c r="L34" s="5">
        <v>24.041589999999999</v>
      </c>
      <c r="M34" s="5">
        <v>55.842449999999999</v>
      </c>
      <c r="N34">
        <v>64.818200593159887</v>
      </c>
    </row>
    <row r="35" spans="1:14" x14ac:dyDescent="0.2">
      <c r="A35" s="4">
        <v>31686</v>
      </c>
      <c r="B35" s="5">
        <v>174.50980000000001</v>
      </c>
      <c r="C35" s="9">
        <v>60.356999999999999</v>
      </c>
      <c r="D35">
        <v>6.1895500973728419</v>
      </c>
      <c r="E35">
        <f t="shared" si="0"/>
        <v>119.21718397580501</v>
      </c>
      <c r="F35" s="9">
        <v>63.512999999999998</v>
      </c>
      <c r="H35">
        <f t="shared" si="1"/>
        <v>0</v>
      </c>
      <c r="I35" s="5">
        <v>159.09091000000001</v>
      </c>
      <c r="J35" s="5">
        <v>54.258989999999997</v>
      </c>
      <c r="K35" s="5">
        <v>153.01962</v>
      </c>
      <c r="L35" s="5">
        <v>23.943249999999999</v>
      </c>
      <c r="M35" s="5">
        <v>56.014580000000002</v>
      </c>
      <c r="N35">
        <v>64.891968342109891</v>
      </c>
    </row>
    <row r="36" spans="1:14" x14ac:dyDescent="0.2">
      <c r="A36" s="4">
        <v>31717</v>
      </c>
      <c r="B36" s="5">
        <v>173.52941000000001</v>
      </c>
      <c r="C36" s="9">
        <v>60.262999999999998</v>
      </c>
      <c r="D36">
        <v>6.2892430106254587</v>
      </c>
      <c r="E36">
        <f t="shared" si="0"/>
        <v>121.13737335844942</v>
      </c>
      <c r="F36" s="9">
        <v>63.536000000000001</v>
      </c>
      <c r="H36">
        <f t="shared" si="1"/>
        <v>0</v>
      </c>
      <c r="I36" s="5">
        <v>156.81818000000001</v>
      </c>
      <c r="J36" s="5">
        <v>54.357460000000003</v>
      </c>
      <c r="K36" s="5">
        <v>168.98399000000001</v>
      </c>
      <c r="L36" s="5">
        <v>24.515560000000001</v>
      </c>
      <c r="M36" s="5">
        <v>56.186720000000001</v>
      </c>
      <c r="N36">
        <v>65.105158544136557</v>
      </c>
    </row>
    <row r="37" spans="1:14" x14ac:dyDescent="0.2">
      <c r="A37" s="4">
        <v>31747</v>
      </c>
      <c r="B37" s="5">
        <v>174.50980000000001</v>
      </c>
      <c r="C37" s="9">
        <v>60.721499999999999</v>
      </c>
      <c r="D37">
        <v>6.1687273968583352</v>
      </c>
      <c r="E37">
        <f t="shared" si="0"/>
        <v>118.81611706802366</v>
      </c>
      <c r="F37" s="9">
        <v>63.683999999999997</v>
      </c>
      <c r="H37">
        <f t="shared" si="1"/>
        <v>0</v>
      </c>
      <c r="I37" s="5">
        <v>150</v>
      </c>
      <c r="J37" s="5">
        <v>54.554409999999997</v>
      </c>
      <c r="K37" s="5">
        <v>144.09780000000001</v>
      </c>
      <c r="L37" s="5">
        <v>25.91649</v>
      </c>
      <c r="M37" s="5">
        <v>56.429729999999999</v>
      </c>
      <c r="N37">
        <v>65.294138327518269</v>
      </c>
    </row>
    <row r="38" spans="1:14" x14ac:dyDescent="0.2">
      <c r="A38" s="4">
        <v>31778</v>
      </c>
      <c r="B38" s="5">
        <v>174.50980000000001</v>
      </c>
      <c r="C38" s="9">
        <v>60.567999999999998</v>
      </c>
      <c r="D38">
        <v>6.0866088963998513</v>
      </c>
      <c r="E38">
        <f t="shared" si="0"/>
        <v>117.23442918716593</v>
      </c>
      <c r="F38" s="9">
        <v>63.698</v>
      </c>
      <c r="H38">
        <f t="shared" si="1"/>
        <v>0</v>
      </c>
      <c r="I38" s="5">
        <v>150</v>
      </c>
      <c r="J38" s="5">
        <v>54.849829999999997</v>
      </c>
      <c r="K38" s="5">
        <v>196.59535</v>
      </c>
      <c r="L38" s="5">
        <v>30.075769999999999</v>
      </c>
      <c r="M38" s="5">
        <v>56.581609999999998</v>
      </c>
      <c r="N38">
        <v>65.708717794544242</v>
      </c>
    </row>
    <row r="39" spans="1:14" x14ac:dyDescent="0.2">
      <c r="A39" s="4">
        <v>31809</v>
      </c>
      <c r="B39" s="5">
        <v>173.52941000000001</v>
      </c>
      <c r="C39" s="9">
        <v>60.662999999999997</v>
      </c>
      <c r="D39">
        <v>6.0199149026133565</v>
      </c>
      <c r="E39">
        <f t="shared" si="0"/>
        <v>115.94983337612297</v>
      </c>
      <c r="F39" s="9">
        <v>63.811999999999998</v>
      </c>
      <c r="H39">
        <f t="shared" si="1"/>
        <v>0</v>
      </c>
      <c r="I39" s="5">
        <v>150</v>
      </c>
      <c r="J39" s="5">
        <v>55.046770000000002</v>
      </c>
      <c r="K39" s="5">
        <v>122.46196999999999</v>
      </c>
      <c r="L39" s="5">
        <v>28.576499999999999</v>
      </c>
      <c r="M39" s="5">
        <v>56.763869999999997</v>
      </c>
      <c r="N39">
        <v>66.30201030766888</v>
      </c>
    </row>
    <row r="40" spans="1:14" x14ac:dyDescent="0.2">
      <c r="A40" s="4">
        <v>31837</v>
      </c>
      <c r="B40" s="5">
        <v>172.54902000000001</v>
      </c>
      <c r="C40" s="9">
        <v>61.207999999999998</v>
      </c>
      <c r="D40">
        <v>6.0081828772086396</v>
      </c>
      <c r="E40">
        <f t="shared" si="0"/>
        <v>115.72386234283631</v>
      </c>
      <c r="F40" s="9">
        <v>64.007000000000005</v>
      </c>
      <c r="H40">
        <f t="shared" si="1"/>
        <v>0</v>
      </c>
      <c r="I40" s="5">
        <v>150</v>
      </c>
      <c r="J40" s="5">
        <v>55.243720000000003</v>
      </c>
      <c r="K40" s="5">
        <v>139.38435999999999</v>
      </c>
      <c r="L40" s="5">
        <v>29.509910000000001</v>
      </c>
      <c r="M40" s="5">
        <v>56.946129999999997</v>
      </c>
      <c r="N40">
        <v>66.74861621680131</v>
      </c>
    </row>
    <row r="41" spans="1:14" x14ac:dyDescent="0.2">
      <c r="A41" s="4">
        <v>31868</v>
      </c>
      <c r="B41" s="5">
        <v>170.58824000000001</v>
      </c>
      <c r="C41" s="9">
        <v>61.369</v>
      </c>
      <c r="D41">
        <v>6.4044370624301674</v>
      </c>
      <c r="E41">
        <f t="shared" si="0"/>
        <v>123.35613082076473</v>
      </c>
      <c r="F41" s="9">
        <v>64.147999999999996</v>
      </c>
      <c r="H41">
        <f t="shared" si="1"/>
        <v>0</v>
      </c>
      <c r="I41" s="5">
        <v>143.18181999999999</v>
      </c>
      <c r="J41" s="5">
        <v>55.489910000000002</v>
      </c>
      <c r="K41" s="5">
        <v>173.64832000000001</v>
      </c>
      <c r="L41" s="5">
        <v>30.05481</v>
      </c>
      <c r="M41" s="5">
        <v>57.23977</v>
      </c>
      <c r="N41">
        <v>67.053123352833893</v>
      </c>
    </row>
    <row r="42" spans="1:14" x14ac:dyDescent="0.2">
      <c r="A42" s="4">
        <v>31898</v>
      </c>
      <c r="B42" s="5">
        <v>167.64706000000001</v>
      </c>
      <c r="C42" s="9">
        <v>61.4435</v>
      </c>
      <c r="D42">
        <v>7.3344640524402314</v>
      </c>
      <c r="E42">
        <f t="shared" si="0"/>
        <v>141.26941967475673</v>
      </c>
      <c r="F42" s="9">
        <v>64.233000000000004</v>
      </c>
      <c r="H42">
        <f t="shared" si="1"/>
        <v>0</v>
      </c>
      <c r="I42" s="5">
        <v>143.18181999999999</v>
      </c>
      <c r="J42" s="5">
        <v>55.637619999999998</v>
      </c>
      <c r="K42" s="5">
        <v>165.33786000000001</v>
      </c>
      <c r="L42" s="5">
        <v>31.29937</v>
      </c>
      <c r="M42" s="5">
        <v>57.401780000000002</v>
      </c>
      <c r="N42">
        <v>67.094909105648043</v>
      </c>
    </row>
    <row r="43" spans="1:14" x14ac:dyDescent="0.2">
      <c r="A43" s="4">
        <v>31929</v>
      </c>
      <c r="B43" s="5">
        <v>164.70588000000001</v>
      </c>
      <c r="C43" s="9">
        <v>61.450500000000005</v>
      </c>
      <c r="D43">
        <v>7.2966249824813687</v>
      </c>
      <c r="E43">
        <f t="shared" si="0"/>
        <v>140.54059976154949</v>
      </c>
      <c r="F43" s="9">
        <v>64.438999999999993</v>
      </c>
      <c r="H43">
        <f t="shared" si="1"/>
        <v>0</v>
      </c>
      <c r="I43" s="5">
        <v>140.90908999999999</v>
      </c>
      <c r="J43" s="5">
        <v>55.883800000000001</v>
      </c>
      <c r="K43" s="5">
        <v>105.24705</v>
      </c>
      <c r="L43" s="5">
        <v>32.297280000000001</v>
      </c>
      <c r="M43" s="5">
        <v>57.604289999999999</v>
      </c>
      <c r="N43">
        <v>67.256725518342165</v>
      </c>
    </row>
    <row r="44" spans="1:14" x14ac:dyDescent="0.2">
      <c r="A44" s="4">
        <v>31959</v>
      </c>
      <c r="B44" s="5">
        <v>161.76471000000001</v>
      </c>
      <c r="C44" s="9">
        <v>61.600999999999999</v>
      </c>
      <c r="D44">
        <v>6.7833180257621191</v>
      </c>
      <c r="E44">
        <f t="shared" si="0"/>
        <v>130.65377294335579</v>
      </c>
      <c r="F44" s="9">
        <v>64.933000000000007</v>
      </c>
      <c r="H44">
        <f t="shared" si="1"/>
        <v>0</v>
      </c>
      <c r="I44" s="5">
        <v>138.63636</v>
      </c>
      <c r="J44" s="5">
        <v>56.031509999999997</v>
      </c>
      <c r="K44" s="5">
        <v>153.65045000000001</v>
      </c>
      <c r="L44" s="5">
        <v>34.42689</v>
      </c>
      <c r="M44" s="5">
        <v>57.827060000000003</v>
      </c>
      <c r="N44">
        <v>67.599313099909779</v>
      </c>
    </row>
    <row r="45" spans="1:14" x14ac:dyDescent="0.2">
      <c r="A45" s="4">
        <v>31990</v>
      </c>
      <c r="B45" s="5">
        <v>158.82353000000001</v>
      </c>
      <c r="C45" s="9">
        <v>61.624499999999998</v>
      </c>
      <c r="D45">
        <v>6.8518370625480047</v>
      </c>
      <c r="E45">
        <f t="shared" si="0"/>
        <v>131.97352098414069</v>
      </c>
      <c r="F45" s="9">
        <v>65.004999999999995</v>
      </c>
      <c r="H45">
        <f t="shared" si="1"/>
        <v>0</v>
      </c>
      <c r="I45" s="5">
        <v>136.36364</v>
      </c>
      <c r="J45" s="5">
        <v>56.277700000000003</v>
      </c>
      <c r="K45" s="5">
        <v>121.55461</v>
      </c>
      <c r="L45" s="5">
        <v>32.684190000000001</v>
      </c>
      <c r="M45" s="5">
        <v>58.019440000000003</v>
      </c>
      <c r="N45">
        <v>68.028458238573464</v>
      </c>
    </row>
    <row r="46" spans="1:14" x14ac:dyDescent="0.2">
      <c r="A46" s="4">
        <v>32021</v>
      </c>
      <c r="B46" s="5">
        <v>157.84314000000001</v>
      </c>
      <c r="C46" s="9">
        <v>62.466499999999996</v>
      </c>
      <c r="D46">
        <v>7.2478273842262304</v>
      </c>
      <c r="E46">
        <f t="shared" si="0"/>
        <v>139.60070717529683</v>
      </c>
      <c r="F46" s="9">
        <v>65.317999999999998</v>
      </c>
      <c r="H46">
        <f t="shared" si="1"/>
        <v>0</v>
      </c>
      <c r="I46" s="5">
        <v>134.09091000000001</v>
      </c>
      <c r="J46" s="5">
        <v>56.474640000000001</v>
      </c>
      <c r="K46" s="5">
        <v>191.79938000000001</v>
      </c>
      <c r="L46" s="5">
        <v>31.47832</v>
      </c>
      <c r="M46" s="5">
        <v>58.232080000000003</v>
      </c>
      <c r="N46">
        <v>68.397515309859642</v>
      </c>
    </row>
    <row r="47" spans="1:14" x14ac:dyDescent="0.2">
      <c r="A47" s="4">
        <v>32051</v>
      </c>
      <c r="B47" s="5">
        <v>157.84314000000001</v>
      </c>
      <c r="C47" s="9">
        <v>62.908000000000001</v>
      </c>
      <c r="D47">
        <v>7.4144036326800666</v>
      </c>
      <c r="E47">
        <f t="shared" si="0"/>
        <v>142.80913928191302</v>
      </c>
      <c r="F47" s="9">
        <v>65.444000000000003</v>
      </c>
      <c r="H47">
        <f t="shared" si="1"/>
        <v>0</v>
      </c>
      <c r="I47" s="5">
        <v>136.36364</v>
      </c>
      <c r="J47" s="5">
        <v>56.622349999999997</v>
      </c>
      <c r="K47" s="5">
        <v>138.86958000000001</v>
      </c>
      <c r="L47" s="5">
        <v>31.997420000000002</v>
      </c>
      <c r="M47" s="5">
        <v>58.464970000000001</v>
      </c>
      <c r="N47">
        <v>68.759649558826922</v>
      </c>
    </row>
    <row r="48" spans="1:14" x14ac:dyDescent="0.2">
      <c r="A48" s="4">
        <v>32082</v>
      </c>
      <c r="B48" s="5">
        <v>157.84314000000001</v>
      </c>
      <c r="C48" s="9">
        <v>62.650000000000006</v>
      </c>
      <c r="D48">
        <v>6.8277299959267737</v>
      </c>
      <c r="E48">
        <f t="shared" si="0"/>
        <v>131.50919376305234</v>
      </c>
      <c r="F48" s="9">
        <v>65.313000000000002</v>
      </c>
      <c r="H48">
        <f t="shared" si="1"/>
        <v>0</v>
      </c>
      <c r="I48" s="5">
        <v>131.81818000000001</v>
      </c>
      <c r="J48" s="5">
        <v>56.819299999999998</v>
      </c>
      <c r="K48" s="5">
        <v>122.00373</v>
      </c>
      <c r="L48" s="5">
        <v>30.501370000000001</v>
      </c>
      <c r="M48" s="5">
        <v>58.707979999999999</v>
      </c>
      <c r="N48">
        <v>69.167977595746407</v>
      </c>
    </row>
    <row r="49" spans="1:14" x14ac:dyDescent="0.2">
      <c r="A49" s="4">
        <v>32112</v>
      </c>
      <c r="B49" s="5">
        <v>158.82353000000001</v>
      </c>
      <c r="C49" s="9">
        <v>62.915000000000006</v>
      </c>
      <c r="D49">
        <v>6.8908947926484583</v>
      </c>
      <c r="E49">
        <f t="shared" si="0"/>
        <v>132.72581356143795</v>
      </c>
      <c r="F49" s="9">
        <v>65.444000000000003</v>
      </c>
      <c r="H49">
        <f t="shared" si="1"/>
        <v>0</v>
      </c>
      <c r="I49" s="5">
        <v>129.54544999999999</v>
      </c>
      <c r="J49" s="5">
        <v>56.917769999999997</v>
      </c>
      <c r="K49" s="5">
        <v>104.20343</v>
      </c>
      <c r="L49" s="5">
        <v>27.794619999999998</v>
      </c>
      <c r="M49" s="5">
        <v>58.950989999999997</v>
      </c>
      <c r="N49">
        <v>69.367119871665921</v>
      </c>
    </row>
    <row r="50" spans="1:14" x14ac:dyDescent="0.2">
      <c r="A50" s="4">
        <v>32143</v>
      </c>
      <c r="B50" s="5">
        <v>157.84314000000001</v>
      </c>
      <c r="C50" s="9">
        <v>63.020499999999998</v>
      </c>
      <c r="D50">
        <v>6.8119739692291512</v>
      </c>
      <c r="E50">
        <f t="shared" si="0"/>
        <v>131.20571627212203</v>
      </c>
      <c r="F50" s="9">
        <v>65.683000000000007</v>
      </c>
      <c r="H50">
        <f t="shared" si="1"/>
        <v>0</v>
      </c>
      <c r="I50" s="5">
        <v>129.54544999999999</v>
      </c>
      <c r="J50" s="5">
        <v>57.114719999999998</v>
      </c>
      <c r="K50" s="5">
        <v>121.75875000000001</v>
      </c>
      <c r="L50" s="5">
        <v>27.66403</v>
      </c>
      <c r="M50" s="5">
        <v>59.102879999999999</v>
      </c>
      <c r="N50">
        <v>69.6005196040919</v>
      </c>
    </row>
    <row r="51" spans="1:14" x14ac:dyDescent="0.2">
      <c r="A51" s="4">
        <v>32174</v>
      </c>
      <c r="B51" s="5">
        <v>156.86275000000001</v>
      </c>
      <c r="C51" s="9">
        <v>62.4</v>
      </c>
      <c r="D51">
        <v>6.3840215975152415</v>
      </c>
      <c r="E51">
        <f t="shared" si="0"/>
        <v>122.96290769494378</v>
      </c>
      <c r="F51" s="9">
        <v>65.338999999999999</v>
      </c>
      <c r="G51" s="20">
        <v>1.2022034044154238E-2</v>
      </c>
      <c r="H51">
        <f t="shared" si="1"/>
        <v>-46.480870247913437</v>
      </c>
      <c r="I51" s="5">
        <v>129.54544999999999</v>
      </c>
      <c r="J51" s="5">
        <v>57.213200000000001</v>
      </c>
      <c r="K51" s="5">
        <v>106.72484</v>
      </c>
      <c r="L51" s="5">
        <v>27.027239999999999</v>
      </c>
      <c r="M51" s="5">
        <v>59.366140000000001</v>
      </c>
      <c r="N51">
        <v>69.741881919392412</v>
      </c>
    </row>
    <row r="52" spans="1:14" x14ac:dyDescent="0.2">
      <c r="A52" s="4">
        <v>32203</v>
      </c>
      <c r="B52" s="5">
        <v>154.90196</v>
      </c>
      <c r="C52" s="9">
        <v>62.597000000000001</v>
      </c>
      <c r="D52">
        <v>6.2990888664763709</v>
      </c>
      <c r="E52">
        <f t="shared" si="0"/>
        <v>121.32701480086634</v>
      </c>
      <c r="F52" s="9">
        <v>65.501000000000005</v>
      </c>
      <c r="G52" s="20">
        <v>1.3088246451070101E-2</v>
      </c>
      <c r="H52">
        <f t="shared" si="1"/>
        <v>-50.603174373867034</v>
      </c>
      <c r="I52" s="5">
        <v>129.54544999999999</v>
      </c>
      <c r="J52" s="5">
        <v>57.360909999999997</v>
      </c>
      <c r="K52" s="5">
        <v>162.13923</v>
      </c>
      <c r="L52" s="5">
        <v>26.143799999999999</v>
      </c>
      <c r="M52" s="5">
        <v>59.588900000000002</v>
      </c>
      <c r="N52">
        <v>70.279374501892207</v>
      </c>
    </row>
    <row r="53" spans="1:14" x14ac:dyDescent="0.2">
      <c r="A53" s="4">
        <v>32234</v>
      </c>
      <c r="B53" s="5">
        <v>150.98039</v>
      </c>
      <c r="C53" s="9">
        <v>62.860500000000002</v>
      </c>
      <c r="D53">
        <v>6.5310722273361952</v>
      </c>
      <c r="E53">
        <f t="shared" si="0"/>
        <v>125.79525604229195</v>
      </c>
      <c r="F53" s="9">
        <v>65.843999999999994</v>
      </c>
      <c r="G53" s="20">
        <v>6.1491817454596434E-2</v>
      </c>
      <c r="H53">
        <f t="shared" si="1"/>
        <v>-237.74622313644863</v>
      </c>
      <c r="I53" s="5">
        <v>122.72727</v>
      </c>
      <c r="J53" s="5">
        <v>57.705559999999998</v>
      </c>
      <c r="K53" s="5">
        <v>173.81827999999999</v>
      </c>
      <c r="L53" s="5">
        <v>28.816700000000001</v>
      </c>
      <c r="M53" s="5">
        <v>59.862290000000002</v>
      </c>
      <c r="N53">
        <v>70.77958411153331</v>
      </c>
    </row>
    <row r="54" spans="1:14" x14ac:dyDescent="0.2">
      <c r="A54" s="4">
        <v>32264</v>
      </c>
      <c r="B54" s="5">
        <v>148.03922</v>
      </c>
      <c r="C54" s="9">
        <v>62.83</v>
      </c>
      <c r="D54">
        <v>6.8635717432652541</v>
      </c>
      <c r="E54">
        <f t="shared" si="0"/>
        <v>132.19954316151339</v>
      </c>
      <c r="F54" s="9">
        <v>65.995999999999995</v>
      </c>
      <c r="G54" s="20">
        <v>0.1831933373140133</v>
      </c>
      <c r="H54">
        <f t="shared" si="1"/>
        <v>-708.28161945817612</v>
      </c>
      <c r="I54" s="5">
        <v>127.27273</v>
      </c>
      <c r="J54" s="5">
        <v>57.853270000000002</v>
      </c>
      <c r="K54" s="5">
        <v>125.24428</v>
      </c>
      <c r="L54" s="5">
        <v>28.112200000000001</v>
      </c>
      <c r="M54" s="5">
        <v>60.004049999999999</v>
      </c>
      <c r="N54">
        <v>71.430989439637145</v>
      </c>
    </row>
    <row r="55" spans="1:14" x14ac:dyDescent="0.2">
      <c r="A55" s="4">
        <v>32295</v>
      </c>
      <c r="B55" s="5">
        <v>146.07843</v>
      </c>
      <c r="C55" s="9">
        <v>63.013999999999996</v>
      </c>
      <c r="D55">
        <v>7.1853429674785012</v>
      </c>
      <c r="E55">
        <f t="shared" si="0"/>
        <v>138.39719220412036</v>
      </c>
      <c r="F55" s="9">
        <v>66.215000000000003</v>
      </c>
      <c r="G55" s="20">
        <v>2.8787743802932142E-2</v>
      </c>
      <c r="H55">
        <f t="shared" si="1"/>
        <v>-111.30224548689489</v>
      </c>
      <c r="I55" s="5">
        <v>122.72727</v>
      </c>
      <c r="J55" s="5">
        <v>58.099460000000001</v>
      </c>
      <c r="K55" s="5">
        <v>171.45322999999999</v>
      </c>
      <c r="L55" s="5">
        <v>26.648399999999999</v>
      </c>
      <c r="M55" s="5">
        <v>60.297690000000003</v>
      </c>
      <c r="N55">
        <v>71.848533274711528</v>
      </c>
    </row>
    <row r="56" spans="1:14" x14ac:dyDescent="0.2">
      <c r="A56" s="4">
        <v>32325</v>
      </c>
      <c r="B56" s="5">
        <v>144.11765</v>
      </c>
      <c r="C56" s="9">
        <v>63.103999999999999</v>
      </c>
      <c r="D56">
        <v>7.3784162022601549</v>
      </c>
      <c r="E56">
        <f t="shared" si="0"/>
        <v>142.11598387551149</v>
      </c>
      <c r="F56" s="9">
        <v>66.402000000000001</v>
      </c>
      <c r="G56" s="20">
        <v>7.2977218613910461E-2</v>
      </c>
      <c r="H56">
        <f t="shared" si="1"/>
        <v>-282.1523060896821</v>
      </c>
      <c r="I56" s="5">
        <v>122.72727</v>
      </c>
      <c r="J56" s="5">
        <v>58.345640000000003</v>
      </c>
      <c r="K56" s="5">
        <v>167.69945999999999</v>
      </c>
      <c r="L56" s="5">
        <v>24.984680000000001</v>
      </c>
      <c r="M56" s="5">
        <v>60.490079999999999</v>
      </c>
      <c r="N56">
        <v>71.989591609582064</v>
      </c>
    </row>
    <row r="57" spans="1:14" x14ac:dyDescent="0.2">
      <c r="A57" s="4">
        <v>32356</v>
      </c>
      <c r="B57" s="5">
        <v>142.15685999999999</v>
      </c>
      <c r="C57" s="9">
        <v>63.447500000000005</v>
      </c>
      <c r="D57">
        <v>7.8047222239429415</v>
      </c>
      <c r="E57">
        <f t="shared" si="0"/>
        <v>150.32708203570283</v>
      </c>
      <c r="F57" s="9">
        <v>66.856999999999999</v>
      </c>
      <c r="G57" s="20">
        <v>0.19255306333829489</v>
      </c>
      <c r="H57">
        <f t="shared" si="1"/>
        <v>-744.46919048757229</v>
      </c>
      <c r="I57" s="5">
        <v>127.27273</v>
      </c>
      <c r="J57" s="5">
        <v>58.591830000000002</v>
      </c>
      <c r="K57" s="5">
        <v>193.48357999999999</v>
      </c>
      <c r="L57" s="5">
        <v>25.026599999999998</v>
      </c>
      <c r="M57" s="5">
        <v>60.601460000000003</v>
      </c>
      <c r="N57">
        <v>72.144239142778559</v>
      </c>
    </row>
    <row r="58" spans="1:14" x14ac:dyDescent="0.2">
      <c r="A58" s="4">
        <v>32387</v>
      </c>
      <c r="B58" s="5">
        <v>141.17646999999999</v>
      </c>
      <c r="C58" s="9">
        <v>63.69</v>
      </c>
      <c r="D58">
        <v>7.8608286110393646</v>
      </c>
      <c r="E58">
        <f t="shared" si="0"/>
        <v>151.40774951031153</v>
      </c>
      <c r="F58" s="9">
        <v>66.917000000000002</v>
      </c>
      <c r="G58" s="20">
        <v>-4.6774349719802067E-3</v>
      </c>
      <c r="H58">
        <f t="shared" si="1"/>
        <v>18.084397966863325</v>
      </c>
      <c r="I58" s="5">
        <v>122.72727</v>
      </c>
      <c r="J58" s="5">
        <v>58.838009999999997</v>
      </c>
      <c r="K58" s="5">
        <v>183.79366999999999</v>
      </c>
      <c r="L58" s="5">
        <v>23.322590000000002</v>
      </c>
      <c r="M58" s="5">
        <v>60.874850000000002</v>
      </c>
      <c r="N58">
        <v>72.370893611753871</v>
      </c>
    </row>
    <row r="59" spans="1:14" x14ac:dyDescent="0.2">
      <c r="A59" s="4">
        <v>32417</v>
      </c>
      <c r="B59" s="5">
        <v>141.17646999999999</v>
      </c>
      <c r="C59" s="9">
        <v>63.734999999999999</v>
      </c>
      <c r="D59">
        <v>7.8287277806012066</v>
      </c>
      <c r="E59">
        <f t="shared" si="0"/>
        <v>150.78945406913783</v>
      </c>
      <c r="F59" s="9">
        <v>66.837999999999994</v>
      </c>
      <c r="G59" s="20">
        <v>0</v>
      </c>
      <c r="H59">
        <f t="shared" si="1"/>
        <v>0</v>
      </c>
      <c r="I59" s="5">
        <v>122.72727</v>
      </c>
      <c r="J59" s="5">
        <v>59.034959999999998</v>
      </c>
      <c r="K59" s="5">
        <v>156.76481000000001</v>
      </c>
      <c r="L59" s="5">
        <v>22.24408</v>
      </c>
      <c r="M59" s="5">
        <v>61.067230000000002</v>
      </c>
      <c r="N59">
        <v>72.838998494998947</v>
      </c>
    </row>
    <row r="60" spans="1:14" x14ac:dyDescent="0.2">
      <c r="A60" s="4">
        <v>32448</v>
      </c>
      <c r="B60" s="5">
        <v>141.17646999999999</v>
      </c>
      <c r="C60" s="9">
        <v>63.801499999999997</v>
      </c>
      <c r="D60">
        <v>8.1463573849428244</v>
      </c>
      <c r="E60">
        <f t="shared" si="0"/>
        <v>156.90733119772418</v>
      </c>
      <c r="F60" s="9">
        <v>66.894999999999996</v>
      </c>
      <c r="G60" s="20">
        <v>9.68486330059114E-2</v>
      </c>
      <c r="H60">
        <f t="shared" si="1"/>
        <v>-374.44651445022976</v>
      </c>
      <c r="I60" s="5">
        <v>120.45455</v>
      </c>
      <c r="J60" s="5">
        <v>59.231909999999999</v>
      </c>
      <c r="K60" s="5">
        <v>108.47899</v>
      </c>
      <c r="L60" s="5">
        <v>22.53265</v>
      </c>
      <c r="M60" s="5">
        <v>61.330500000000001</v>
      </c>
      <c r="N60">
        <v>72.858637318036372</v>
      </c>
    </row>
    <row r="61" spans="1:14" x14ac:dyDescent="0.2">
      <c r="A61" s="4">
        <v>32478</v>
      </c>
      <c r="B61" s="5">
        <v>141.17646999999999</v>
      </c>
      <c r="C61" s="9">
        <v>64.756</v>
      </c>
      <c r="D61">
        <v>8.9101183485602391</v>
      </c>
      <c r="E61">
        <f t="shared" si="0"/>
        <v>171.61816314522923</v>
      </c>
      <c r="F61" s="9">
        <v>67.301000000000002</v>
      </c>
      <c r="G61" s="20">
        <v>5.0085620140482491E-2</v>
      </c>
      <c r="H61">
        <f t="shared" si="1"/>
        <v>-193.64636653712165</v>
      </c>
      <c r="I61" s="5">
        <v>120.45455</v>
      </c>
      <c r="J61" s="5">
        <v>59.428849999999997</v>
      </c>
      <c r="K61" s="5">
        <v>144.92798999999999</v>
      </c>
      <c r="L61" s="5">
        <v>26.222799999999999</v>
      </c>
      <c r="M61" s="5">
        <v>61.533009999999997</v>
      </c>
      <c r="N61">
        <v>72.955545256068646</v>
      </c>
    </row>
    <row r="62" spans="1:14" x14ac:dyDescent="0.2">
      <c r="A62" s="4">
        <v>32509</v>
      </c>
      <c r="B62" s="5">
        <v>141.17646999999999</v>
      </c>
      <c r="C62" s="9">
        <v>64.761500000000012</v>
      </c>
      <c r="D62">
        <v>9.2384921884928541</v>
      </c>
      <c r="E62">
        <f t="shared" si="0"/>
        <v>177.94298544607861</v>
      </c>
      <c r="F62" s="9">
        <v>67.649000000000001</v>
      </c>
      <c r="G62" s="20">
        <v>3.9146391461608976E-2</v>
      </c>
      <c r="H62">
        <f t="shared" si="1"/>
        <v>-151.3519538805366</v>
      </c>
      <c r="I62" s="5">
        <v>122.72727</v>
      </c>
      <c r="J62" s="5">
        <v>59.675040000000003</v>
      </c>
      <c r="K62" s="5">
        <v>171.76085</v>
      </c>
      <c r="L62" s="5">
        <v>28.99081</v>
      </c>
      <c r="M62" s="5">
        <v>61.70514</v>
      </c>
      <c r="N62">
        <v>72.948528011002807</v>
      </c>
    </row>
    <row r="63" spans="1:14" x14ac:dyDescent="0.2">
      <c r="A63" s="4">
        <v>32540</v>
      </c>
      <c r="B63" s="5">
        <v>141.17646999999999</v>
      </c>
      <c r="C63" s="9">
        <v>65.260000000000005</v>
      </c>
      <c r="D63">
        <v>9.3627708448411973</v>
      </c>
      <c r="E63">
        <f t="shared" si="0"/>
        <v>180.33672185745928</v>
      </c>
      <c r="F63" s="9">
        <v>67.656000000000006</v>
      </c>
      <c r="G63" s="20">
        <v>0.14810097133889766</v>
      </c>
      <c r="H63">
        <f t="shared" si="1"/>
        <v>-572.60377130112636</v>
      </c>
      <c r="I63" s="5">
        <v>118.18182</v>
      </c>
      <c r="J63" s="5">
        <v>59.871980000000001</v>
      </c>
      <c r="K63" s="5">
        <v>191.13511</v>
      </c>
      <c r="L63" s="5">
        <v>28.73771</v>
      </c>
      <c r="M63" s="5">
        <v>61.968409999999999</v>
      </c>
      <c r="N63">
        <v>73.158413393496886</v>
      </c>
    </row>
    <row r="64" spans="1:14" x14ac:dyDescent="0.2">
      <c r="A64" s="4">
        <v>32568</v>
      </c>
      <c r="B64" s="5">
        <v>141.17646999999999</v>
      </c>
      <c r="C64" s="9">
        <v>65.29849999999999</v>
      </c>
      <c r="D64">
        <v>9.8758364387781459</v>
      </c>
      <c r="E64">
        <f t="shared" si="0"/>
        <v>190.21889977698189</v>
      </c>
      <c r="F64" s="9">
        <v>67.84</v>
      </c>
      <c r="G64" s="20">
        <v>-1.3211303324694001E-2</v>
      </c>
      <c r="H64">
        <f t="shared" si="1"/>
        <v>51.07894998347011</v>
      </c>
      <c r="I64" s="5">
        <v>113.63636</v>
      </c>
      <c r="J64" s="5">
        <v>60.167409999999997</v>
      </c>
      <c r="K64" s="5">
        <v>184.7193</v>
      </c>
      <c r="L64" s="5">
        <v>31.347729999999999</v>
      </c>
      <c r="M64" s="5">
        <v>62.201300000000003</v>
      </c>
      <c r="N64">
        <v>73.150332261385103</v>
      </c>
    </row>
    <row r="65" spans="1:14" x14ac:dyDescent="0.2">
      <c r="A65" s="4">
        <v>32599</v>
      </c>
      <c r="B65" s="5">
        <v>141.17646999999999</v>
      </c>
      <c r="C65" s="9">
        <v>65.636500000000012</v>
      </c>
      <c r="D65">
        <v>9.7757497489051293</v>
      </c>
      <c r="E65">
        <f t="shared" si="0"/>
        <v>188.29112584633944</v>
      </c>
      <c r="F65" s="9">
        <v>68.031999999999996</v>
      </c>
      <c r="G65" s="20">
        <v>0</v>
      </c>
      <c r="H65">
        <f t="shared" si="1"/>
        <v>0</v>
      </c>
      <c r="I65" s="5">
        <v>118.18182</v>
      </c>
      <c r="J65" s="5">
        <v>60.61054</v>
      </c>
      <c r="K65" s="5">
        <v>179.01228</v>
      </c>
      <c r="L65" s="5">
        <v>33.919069999999998</v>
      </c>
      <c r="M65" s="5">
        <v>62.31268</v>
      </c>
      <c r="N65">
        <v>73.277545130002053</v>
      </c>
    </row>
    <row r="66" spans="1:14" x14ac:dyDescent="0.2">
      <c r="A66" s="4">
        <v>32629</v>
      </c>
      <c r="B66" s="5">
        <v>142.15685999999999</v>
      </c>
      <c r="C66" s="9">
        <v>65.744500000000002</v>
      </c>
      <c r="D66">
        <v>9.3309868377794292</v>
      </c>
      <c r="E66">
        <f t="shared" si="0"/>
        <v>179.72452876462376</v>
      </c>
      <c r="F66" s="9">
        <v>68.575999999999993</v>
      </c>
      <c r="G66" s="20">
        <v>-6.7008184758045441E-3</v>
      </c>
      <c r="H66">
        <f t="shared" si="1"/>
        <v>25.907419076070632</v>
      </c>
      <c r="I66" s="5">
        <v>118.18182</v>
      </c>
      <c r="J66" s="5">
        <v>60.90596</v>
      </c>
      <c r="K66" s="5">
        <v>197.68546000000001</v>
      </c>
      <c r="L66" s="5">
        <v>32.294049999999999</v>
      </c>
      <c r="M66" s="5">
        <v>62.474690000000002</v>
      </c>
      <c r="N66">
        <v>73.728171938543539</v>
      </c>
    </row>
    <row r="67" spans="1:14" x14ac:dyDescent="0.2">
      <c r="A67" s="4">
        <v>32660</v>
      </c>
      <c r="B67" s="5">
        <v>144.11765</v>
      </c>
      <c r="C67" s="9">
        <v>66.337500000000006</v>
      </c>
      <c r="D67">
        <v>8.7353803639891581</v>
      </c>
      <c r="E67">
        <f t="shared" ref="E67:E130" si="2">(D67 / $D$277) * 100</f>
        <v>168.25252749700758</v>
      </c>
      <c r="F67" s="9">
        <v>68.888999999999996</v>
      </c>
      <c r="G67" s="20">
        <v>-4.3639524178020431E-2</v>
      </c>
      <c r="H67">
        <f t="shared" ref="H67:H130" si="3">(G67 / G$277) * 100</f>
        <v>168.72378280991208</v>
      </c>
      <c r="I67" s="5">
        <v>120.45455</v>
      </c>
      <c r="J67" s="5">
        <v>61.102899999999998</v>
      </c>
      <c r="K67" s="5">
        <v>141.43956</v>
      </c>
      <c r="L67" s="5">
        <v>32.250520000000002</v>
      </c>
      <c r="M67" s="5">
        <v>62.565820000000002</v>
      </c>
      <c r="N67">
        <v>74.093930003660773</v>
      </c>
    </row>
    <row r="68" spans="1:14" x14ac:dyDescent="0.2">
      <c r="A68" s="4">
        <v>32690</v>
      </c>
      <c r="B68" s="5">
        <v>145.09804</v>
      </c>
      <c r="C68" s="9">
        <v>66.378</v>
      </c>
      <c r="D68">
        <v>7.8505403548347381</v>
      </c>
      <c r="E68">
        <f t="shared" si="2"/>
        <v>151.20958697613028</v>
      </c>
      <c r="F68" s="9">
        <v>67.867000000000004</v>
      </c>
      <c r="G68" s="20">
        <v>-5.3032106968322182E-2</v>
      </c>
      <c r="H68">
        <f t="shared" si="3"/>
        <v>205.03838817247856</v>
      </c>
      <c r="I68" s="5">
        <v>118.18182</v>
      </c>
      <c r="J68" s="5">
        <v>61.299849999999999</v>
      </c>
      <c r="K68" s="5">
        <v>213.32455999999999</v>
      </c>
      <c r="L68" s="5">
        <v>31.66855</v>
      </c>
      <c r="M68" s="5">
        <v>62.707569999999997</v>
      </c>
      <c r="N68">
        <v>74.195703181294604</v>
      </c>
    </row>
    <row r="69" spans="1:14" x14ac:dyDescent="0.2">
      <c r="A69" s="4">
        <v>32721</v>
      </c>
      <c r="B69" s="5">
        <v>146.07843</v>
      </c>
      <c r="C69" s="9">
        <v>66.650499999999994</v>
      </c>
      <c r="D69">
        <v>8.3540059442763415</v>
      </c>
      <c r="E69">
        <f t="shared" si="2"/>
        <v>160.90685880650503</v>
      </c>
      <c r="F69" s="9">
        <v>67.926000000000002</v>
      </c>
      <c r="G69" s="20">
        <v>-1.4689660542766263E-2</v>
      </c>
      <c r="H69">
        <f t="shared" si="3"/>
        <v>56.794732336182399</v>
      </c>
      <c r="I69" s="5">
        <v>118.18182</v>
      </c>
      <c r="J69" s="5">
        <v>61.299849999999999</v>
      </c>
      <c r="K69" s="5">
        <v>104.78169</v>
      </c>
      <c r="L69" s="5">
        <v>29.859749999999998</v>
      </c>
      <c r="M69" s="5">
        <v>62.80883</v>
      </c>
      <c r="N69">
        <v>73.892879103462235</v>
      </c>
    </row>
    <row r="70" spans="1:14" x14ac:dyDescent="0.2">
      <c r="A70" s="4">
        <v>32752</v>
      </c>
      <c r="B70" s="5">
        <v>146.07843</v>
      </c>
      <c r="C70" s="9">
        <v>66.278999999999996</v>
      </c>
      <c r="D70">
        <v>8.5484778052385444</v>
      </c>
      <c r="E70">
        <f t="shared" si="2"/>
        <v>164.65258947540914</v>
      </c>
      <c r="F70" s="9">
        <v>67.936000000000007</v>
      </c>
      <c r="G70" s="20">
        <v>0</v>
      </c>
      <c r="H70">
        <f t="shared" si="3"/>
        <v>0</v>
      </c>
      <c r="I70" s="5">
        <v>120.45455</v>
      </c>
      <c r="J70" s="5">
        <v>61.447560000000003</v>
      </c>
      <c r="K70" s="5">
        <v>127.41969</v>
      </c>
      <c r="L70" s="5">
        <v>31.58794</v>
      </c>
      <c r="M70" s="5">
        <v>62.940460000000002</v>
      </c>
      <c r="N70">
        <v>72.67729278488936</v>
      </c>
    </row>
    <row r="71" spans="1:14" x14ac:dyDescent="0.2">
      <c r="A71" s="4">
        <v>32782</v>
      </c>
      <c r="B71" s="5">
        <v>145.09804</v>
      </c>
      <c r="C71" s="9">
        <v>66.460999999999999</v>
      </c>
      <c r="D71">
        <v>8.1636548323811837</v>
      </c>
      <c r="E71">
        <f t="shared" si="2"/>
        <v>157.24049805817918</v>
      </c>
      <c r="F71" s="9">
        <v>68.447000000000003</v>
      </c>
      <c r="G71" s="20">
        <v>5.4513890124534337E-2</v>
      </c>
      <c r="H71">
        <f t="shared" si="3"/>
        <v>-210.7674162526254</v>
      </c>
      <c r="I71" s="5">
        <v>120.45455</v>
      </c>
      <c r="J71" s="5">
        <v>61.742980000000003</v>
      </c>
      <c r="K71" s="5">
        <v>189.65474</v>
      </c>
      <c r="L71" s="5">
        <v>32.38917</v>
      </c>
      <c r="M71" s="5">
        <v>63.072090000000003</v>
      </c>
      <c r="N71">
        <v>72.735421338459744</v>
      </c>
    </row>
    <row r="72" spans="1:14" x14ac:dyDescent="0.2">
      <c r="A72" s="4">
        <v>32813</v>
      </c>
      <c r="B72" s="5">
        <v>143.13724999999999</v>
      </c>
      <c r="C72" s="9">
        <v>66.36099999999999</v>
      </c>
      <c r="D72">
        <v>7.9219609016851003</v>
      </c>
      <c r="E72">
        <f t="shared" si="2"/>
        <v>152.58522112393794</v>
      </c>
      <c r="F72" s="9">
        <v>68.391999999999996</v>
      </c>
      <c r="G72" s="20">
        <v>2.5208202712862372E-2</v>
      </c>
      <c r="H72">
        <f t="shared" si="3"/>
        <v>-97.462641943640037</v>
      </c>
      <c r="I72" s="5">
        <v>122.72727</v>
      </c>
      <c r="J72" s="5">
        <v>61.989170000000001</v>
      </c>
      <c r="K72" s="5">
        <v>152.72253000000001</v>
      </c>
      <c r="L72" s="5">
        <v>31.952279999999998</v>
      </c>
      <c r="M72" s="5">
        <v>63.223979999999997</v>
      </c>
      <c r="N72">
        <v>73.282153034815963</v>
      </c>
    </row>
    <row r="73" spans="1:14" x14ac:dyDescent="0.2">
      <c r="A73" s="4">
        <v>32843</v>
      </c>
      <c r="B73" s="5">
        <v>141.17646999999999</v>
      </c>
      <c r="C73" s="9">
        <v>67.148500000000013</v>
      </c>
      <c r="D73">
        <v>7.9365735570402611</v>
      </c>
      <c r="E73">
        <f t="shared" si="2"/>
        <v>152.86667609149538</v>
      </c>
      <c r="F73" s="9">
        <v>69.122</v>
      </c>
      <c r="G73" s="20">
        <v>-2.0319627269821072E-2</v>
      </c>
      <c r="H73">
        <f t="shared" si="3"/>
        <v>78.561910168085973</v>
      </c>
      <c r="I73" s="5">
        <v>122.72727</v>
      </c>
      <c r="J73" s="5">
        <v>62.186120000000003</v>
      </c>
      <c r="K73" s="5">
        <v>138.32754</v>
      </c>
      <c r="L73" s="5">
        <v>33.996450000000003</v>
      </c>
      <c r="M73" s="5">
        <v>63.365740000000002</v>
      </c>
      <c r="N73">
        <v>75.125304579143943</v>
      </c>
    </row>
    <row r="74" spans="1:14" x14ac:dyDescent="0.2">
      <c r="A74" s="4">
        <v>32874</v>
      </c>
      <c r="B74" s="5">
        <v>140.19607999999999</v>
      </c>
      <c r="C74" s="9">
        <v>67.797500000000014</v>
      </c>
      <c r="D74">
        <v>8.0414346107309047</v>
      </c>
      <c r="E74">
        <f t="shared" si="2"/>
        <v>154.88640924383554</v>
      </c>
      <c r="F74" s="9">
        <v>69.662000000000006</v>
      </c>
      <c r="G74" s="20">
        <v>0</v>
      </c>
      <c r="H74">
        <f t="shared" si="3"/>
        <v>0</v>
      </c>
      <c r="I74" s="5">
        <v>122.72727</v>
      </c>
      <c r="J74" s="5">
        <v>62.776960000000003</v>
      </c>
      <c r="K74" s="5">
        <v>191.37959000000001</v>
      </c>
      <c r="L74" s="5">
        <v>36.500079999999997</v>
      </c>
      <c r="M74" s="5">
        <v>63.568249999999999</v>
      </c>
      <c r="N74">
        <v>75.613205222460266</v>
      </c>
    </row>
    <row r="75" spans="1:14" x14ac:dyDescent="0.2">
      <c r="A75" s="4">
        <v>32905</v>
      </c>
      <c r="B75" s="5">
        <v>140.19607999999999</v>
      </c>
      <c r="C75" s="9">
        <v>67.829499999999996</v>
      </c>
      <c r="D75">
        <v>8.3545608251581722</v>
      </c>
      <c r="E75">
        <f t="shared" si="2"/>
        <v>160.9175463904381</v>
      </c>
      <c r="F75" s="9">
        <v>70.028999999999996</v>
      </c>
      <c r="G75" s="20">
        <v>1.9896416556072272E-2</v>
      </c>
      <c r="H75">
        <f t="shared" si="3"/>
        <v>-76.925647768475656</v>
      </c>
      <c r="I75" s="5">
        <v>120.45455</v>
      </c>
      <c r="J75" s="5">
        <v>63.023139999999998</v>
      </c>
      <c r="K75" s="5">
        <v>182.77619999999999</v>
      </c>
      <c r="L75" s="5">
        <v>35.640819999999998</v>
      </c>
      <c r="M75" s="5">
        <v>63.780880000000003</v>
      </c>
      <c r="N75">
        <v>75.828000128713796</v>
      </c>
    </row>
    <row r="76" spans="1:14" x14ac:dyDescent="0.2">
      <c r="A76" s="4">
        <v>32933</v>
      </c>
      <c r="B76" s="5">
        <v>139.21569</v>
      </c>
      <c r="C76" s="9">
        <v>69.546999999999997</v>
      </c>
      <c r="D76">
        <v>8.6474512437818305</v>
      </c>
      <c r="E76">
        <f t="shared" si="2"/>
        <v>166.55892102550698</v>
      </c>
      <c r="F76" s="9">
        <v>70.063999999999993</v>
      </c>
      <c r="G76" s="20">
        <v>-1.5927543825118459E-2</v>
      </c>
      <c r="H76">
        <f t="shared" si="3"/>
        <v>61.580768710538827</v>
      </c>
      <c r="I76" s="5">
        <v>118.18182</v>
      </c>
      <c r="J76" s="5">
        <v>63.318559999999998</v>
      </c>
      <c r="K76" s="5">
        <v>192.63908000000001</v>
      </c>
      <c r="L76" s="5">
        <v>32.916330000000002</v>
      </c>
      <c r="M76" s="5">
        <v>63.973269999999999</v>
      </c>
      <c r="N76">
        <v>75.527874707359004</v>
      </c>
    </row>
    <row r="77" spans="1:14" x14ac:dyDescent="0.2">
      <c r="A77" s="4">
        <v>32964</v>
      </c>
      <c r="B77" s="5">
        <v>139.21569</v>
      </c>
      <c r="C77" s="9">
        <v>68.677999999999997</v>
      </c>
      <c r="D77">
        <v>8.5727304276290983</v>
      </c>
      <c r="E77">
        <f t="shared" si="2"/>
        <v>165.11972025227413</v>
      </c>
      <c r="F77" s="9">
        <v>69.808999999999997</v>
      </c>
      <c r="G77" s="20">
        <v>0</v>
      </c>
      <c r="H77">
        <f t="shared" si="3"/>
        <v>0</v>
      </c>
      <c r="I77" s="5">
        <v>122.72727</v>
      </c>
      <c r="J77" s="5">
        <v>63.466270000000002</v>
      </c>
      <c r="K77" s="5">
        <v>194.98379</v>
      </c>
      <c r="L77" s="5">
        <v>29.956469999999999</v>
      </c>
      <c r="M77" s="5">
        <v>64.044150000000002</v>
      </c>
      <c r="N77">
        <v>75.504016519247912</v>
      </c>
    </row>
    <row r="78" spans="1:14" x14ac:dyDescent="0.2">
      <c r="A78" s="4">
        <v>32994</v>
      </c>
      <c r="B78" s="5">
        <v>138.23528999999999</v>
      </c>
      <c r="C78" s="9">
        <v>69.406999999999996</v>
      </c>
      <c r="D78">
        <v>8.5855783230204281</v>
      </c>
      <c r="E78">
        <f t="shared" si="2"/>
        <v>165.36718410416543</v>
      </c>
      <c r="F78" s="9">
        <v>70.408000000000001</v>
      </c>
      <c r="G78" s="20">
        <v>-8.3084132934347719E-3</v>
      </c>
      <c r="H78">
        <f t="shared" si="3"/>
        <v>32.122873620206008</v>
      </c>
      <c r="I78" s="5">
        <v>122.72727</v>
      </c>
      <c r="J78" s="5">
        <v>63.564749999999997</v>
      </c>
      <c r="K78" s="5">
        <v>145.53022000000001</v>
      </c>
      <c r="L78" s="5">
        <v>29.400289999999998</v>
      </c>
      <c r="M78" s="5">
        <v>64.206159999999997</v>
      </c>
      <c r="N78">
        <v>75.520414643393522</v>
      </c>
    </row>
    <row r="79" spans="1:14" x14ac:dyDescent="0.2">
      <c r="A79" s="4">
        <v>33025</v>
      </c>
      <c r="B79" s="5">
        <v>138.23528999999999</v>
      </c>
      <c r="C79" s="9">
        <v>68.858000000000004</v>
      </c>
      <c r="D79">
        <v>8.2655872312510947</v>
      </c>
      <c r="E79">
        <f t="shared" si="2"/>
        <v>159.2038222672081</v>
      </c>
      <c r="F79" s="9">
        <v>70.896000000000001</v>
      </c>
      <c r="G79" s="20">
        <v>0</v>
      </c>
      <c r="H79">
        <f t="shared" si="3"/>
        <v>0</v>
      </c>
      <c r="I79" s="5">
        <v>118.18182</v>
      </c>
      <c r="J79" s="5">
        <v>63.958640000000003</v>
      </c>
      <c r="K79" s="5">
        <v>206.49066999999999</v>
      </c>
      <c r="L79" s="5">
        <v>27.198129999999999</v>
      </c>
      <c r="M79" s="5">
        <v>64.368170000000006</v>
      </c>
      <c r="N79">
        <v>75.724578762896073</v>
      </c>
    </row>
    <row r="80" spans="1:14" x14ac:dyDescent="0.2">
      <c r="A80" s="4">
        <v>33055</v>
      </c>
      <c r="B80" s="5">
        <v>138.23528999999999</v>
      </c>
      <c r="C80" s="9">
        <v>68.936999999999998</v>
      </c>
      <c r="D80">
        <v>7.8607118273923007</v>
      </c>
      <c r="E80">
        <f t="shared" si="2"/>
        <v>151.40550013558826</v>
      </c>
      <c r="F80" s="9">
        <v>70.974000000000004</v>
      </c>
      <c r="G80" s="20">
        <v>-8.6377117576579045E-3</v>
      </c>
      <c r="H80">
        <f t="shared" si="3"/>
        <v>33.3960424643614</v>
      </c>
      <c r="I80" s="5">
        <v>125</v>
      </c>
      <c r="J80" s="5">
        <v>64.254059999999996</v>
      </c>
      <c r="K80" s="5">
        <v>194.55444</v>
      </c>
      <c r="L80" s="5">
        <v>30.046749999999999</v>
      </c>
      <c r="M80" s="5">
        <v>64.378290000000007</v>
      </c>
      <c r="N80">
        <v>75.757371713145673</v>
      </c>
    </row>
    <row r="81" spans="1:14" x14ac:dyDescent="0.2">
      <c r="A81" s="4">
        <v>33086</v>
      </c>
      <c r="B81" s="5">
        <v>139.21569</v>
      </c>
      <c r="C81" s="9">
        <v>68.231499999999997</v>
      </c>
      <c r="D81">
        <v>7.3012934081883376</v>
      </c>
      <c r="E81">
        <f t="shared" si="2"/>
        <v>140.63051850485547</v>
      </c>
      <c r="F81" s="9">
        <v>71.117000000000004</v>
      </c>
      <c r="G81" s="20">
        <v>1.2858809321605323E-2</v>
      </c>
      <c r="H81">
        <f t="shared" si="3"/>
        <v>-49.71610007300098</v>
      </c>
      <c r="I81" s="5">
        <v>129.54544999999999</v>
      </c>
      <c r="J81" s="5">
        <v>64.795670000000001</v>
      </c>
      <c r="K81" s="5">
        <v>207.87046000000001</v>
      </c>
      <c r="L81" s="5">
        <v>43.807830000000003</v>
      </c>
      <c r="M81" s="5">
        <v>64.368170000000006</v>
      </c>
      <c r="N81">
        <v>75.834010597268588</v>
      </c>
    </row>
    <row r="82" spans="1:14" x14ac:dyDescent="0.2">
      <c r="A82" s="4">
        <v>33117</v>
      </c>
      <c r="B82" s="5">
        <v>141.17646999999999</v>
      </c>
      <c r="C82" s="9">
        <v>68.420500000000004</v>
      </c>
      <c r="D82">
        <v>7.1677631612961346</v>
      </c>
      <c r="E82">
        <f t="shared" si="2"/>
        <v>138.05858682005669</v>
      </c>
      <c r="F82" s="9">
        <v>72.259</v>
      </c>
      <c r="G82" s="20">
        <v>0</v>
      </c>
      <c r="H82">
        <f t="shared" si="3"/>
        <v>0</v>
      </c>
      <c r="I82" s="5">
        <v>134.09091000000001</v>
      </c>
      <c r="J82" s="5">
        <v>65.238799999999998</v>
      </c>
      <c r="K82" s="5">
        <v>103.34524</v>
      </c>
      <c r="L82" s="5">
        <v>54.307589999999998</v>
      </c>
      <c r="M82" s="5">
        <v>64.368170000000006</v>
      </c>
      <c r="N82">
        <v>75.605426997775353</v>
      </c>
    </row>
    <row r="83" spans="1:14" x14ac:dyDescent="0.2">
      <c r="A83" s="4">
        <v>33147</v>
      </c>
      <c r="B83" s="5">
        <v>143.13724999999999</v>
      </c>
      <c r="C83" s="9">
        <v>68.742999999999995</v>
      </c>
      <c r="D83">
        <v>7.0775474907286489</v>
      </c>
      <c r="E83">
        <f t="shared" si="2"/>
        <v>136.32093900618577</v>
      </c>
      <c r="F83" s="9">
        <v>73.012</v>
      </c>
      <c r="G83" s="20">
        <v>1.2875986309943105E-2</v>
      </c>
      <c r="H83">
        <f t="shared" si="3"/>
        <v>-49.782511577347584</v>
      </c>
      <c r="I83" s="5">
        <v>134.09091000000001</v>
      </c>
      <c r="J83" s="5">
        <v>65.681929999999994</v>
      </c>
      <c r="K83" s="5">
        <v>167.06191999999999</v>
      </c>
      <c r="L83" s="5">
        <v>57.910690000000002</v>
      </c>
      <c r="M83" s="5">
        <v>64.398539999999997</v>
      </c>
      <c r="N83">
        <v>75.377187833630686</v>
      </c>
    </row>
    <row r="84" spans="1:14" x14ac:dyDescent="0.2">
      <c r="A84" s="4">
        <v>33178</v>
      </c>
      <c r="B84" s="5">
        <v>146.07843</v>
      </c>
      <c r="C84" s="9">
        <v>69.018000000000001</v>
      </c>
      <c r="D84">
        <v>7.0260464628051009</v>
      </c>
      <c r="E84">
        <f t="shared" si="2"/>
        <v>135.32897554772524</v>
      </c>
      <c r="F84" s="9">
        <v>72.831999999999994</v>
      </c>
      <c r="G84" s="20">
        <v>3.912925501712277E-2</v>
      </c>
      <c r="H84">
        <f t="shared" si="3"/>
        <v>-151.28569913115322</v>
      </c>
      <c r="I84" s="5">
        <v>140.90908999999999</v>
      </c>
      <c r="J84" s="5">
        <v>65.829639999999998</v>
      </c>
      <c r="K84" s="5">
        <v>132.59711999999999</v>
      </c>
      <c r="L84" s="5">
        <v>52.071579999999997</v>
      </c>
      <c r="M84" s="5">
        <v>64.347909999999999</v>
      </c>
      <c r="N84">
        <v>75.310948551417894</v>
      </c>
    </row>
    <row r="85" spans="1:14" x14ac:dyDescent="0.2">
      <c r="A85" s="4">
        <v>33208</v>
      </c>
      <c r="B85" s="5">
        <v>148.03922</v>
      </c>
      <c r="C85" s="9">
        <v>69.812000000000012</v>
      </c>
      <c r="D85">
        <v>6.74267167267113</v>
      </c>
      <c r="E85">
        <f t="shared" si="2"/>
        <v>129.8708818320211</v>
      </c>
      <c r="F85" s="9">
        <v>73.012</v>
      </c>
      <c r="G85" s="20">
        <v>-8.4566586183026954E-2</v>
      </c>
      <c r="H85">
        <f t="shared" si="3"/>
        <v>326.96035506517279</v>
      </c>
      <c r="I85" s="5">
        <v>143.18181999999999</v>
      </c>
      <c r="J85" s="5">
        <v>66.075819999999993</v>
      </c>
      <c r="K85" s="5">
        <v>185.49770000000001</v>
      </c>
      <c r="L85" s="5">
        <v>44.070610000000002</v>
      </c>
      <c r="M85" s="5">
        <v>64.327659999999995</v>
      </c>
      <c r="N85">
        <v>75.298228819178988</v>
      </c>
    </row>
    <row r="86" spans="1:14" x14ac:dyDescent="0.2">
      <c r="A86" s="4">
        <v>33239</v>
      </c>
      <c r="B86" s="5">
        <v>150.98039</v>
      </c>
      <c r="C86" s="9">
        <v>69.713999999999999</v>
      </c>
      <c r="D86">
        <v>6.409668448670665</v>
      </c>
      <c r="E86">
        <f t="shared" si="2"/>
        <v>123.45689277051397</v>
      </c>
      <c r="F86" s="9">
        <v>72.614000000000004</v>
      </c>
      <c r="G86" s="20">
        <v>-0.10114795176908044</v>
      </c>
      <c r="H86">
        <f t="shared" si="3"/>
        <v>391.06899920208843</v>
      </c>
      <c r="I86" s="5">
        <v>145.45455000000001</v>
      </c>
      <c r="J86" s="5">
        <v>66.322010000000006</v>
      </c>
      <c r="K86" s="5">
        <v>204.09795</v>
      </c>
      <c r="L86" s="5">
        <v>40.236980000000003</v>
      </c>
      <c r="M86" s="5">
        <v>64.327659999999995</v>
      </c>
      <c r="N86">
        <v>75.294592995454352</v>
      </c>
    </row>
    <row r="87" spans="1:14" x14ac:dyDescent="0.2">
      <c r="A87" s="4">
        <v>33270</v>
      </c>
      <c r="B87" s="5">
        <v>152.94118</v>
      </c>
      <c r="C87" s="9">
        <v>69.758999999999986</v>
      </c>
      <c r="D87">
        <v>6.1215209619536646</v>
      </c>
      <c r="E87">
        <f t="shared" si="2"/>
        <v>117.9068719457876</v>
      </c>
      <c r="F87" s="9">
        <v>72.262</v>
      </c>
      <c r="G87" s="20">
        <v>-6.8062077314822916E-2</v>
      </c>
      <c r="H87">
        <f t="shared" si="3"/>
        <v>263.14886256806449</v>
      </c>
      <c r="I87" s="5">
        <v>150</v>
      </c>
      <c r="J87" s="5">
        <v>66.371250000000003</v>
      </c>
      <c r="K87" s="5">
        <v>159.78534999999999</v>
      </c>
      <c r="L87" s="5">
        <v>33.085599999999999</v>
      </c>
      <c r="M87" s="5">
        <v>64.236530000000002</v>
      </c>
      <c r="N87">
        <v>74.741951047483525</v>
      </c>
    </row>
    <row r="88" spans="1:14" x14ac:dyDescent="0.2">
      <c r="A88" s="4">
        <v>33298</v>
      </c>
      <c r="B88" s="5">
        <v>154.90196</v>
      </c>
      <c r="C88" s="9">
        <v>69.795500000000004</v>
      </c>
      <c r="D88">
        <v>6.2109761405051707</v>
      </c>
      <c r="E88">
        <f t="shared" si="2"/>
        <v>119.62987189104857</v>
      </c>
      <c r="F88" s="9">
        <v>71.707999999999998</v>
      </c>
      <c r="G88" s="20">
        <v>-7.1508378685186835E-2</v>
      </c>
      <c r="H88">
        <f t="shared" si="3"/>
        <v>276.47332049612896</v>
      </c>
      <c r="I88" s="5">
        <v>154.54544999999999</v>
      </c>
      <c r="J88" s="5">
        <v>66.371250000000003</v>
      </c>
      <c r="K88" s="5">
        <v>134.11201</v>
      </c>
      <c r="L88" s="5">
        <v>32.016770000000001</v>
      </c>
      <c r="M88" s="5">
        <v>64.165649999999999</v>
      </c>
      <c r="N88">
        <v>74.544208658586527</v>
      </c>
    </row>
    <row r="89" spans="1:14" x14ac:dyDescent="0.2">
      <c r="A89" s="4">
        <v>33329</v>
      </c>
      <c r="B89" s="5">
        <v>156.86275000000001</v>
      </c>
      <c r="C89" s="9">
        <v>69.988500000000002</v>
      </c>
      <c r="D89">
        <v>6.0648323584685953</v>
      </c>
      <c r="E89">
        <f t="shared" si="2"/>
        <v>116.81499037690273</v>
      </c>
      <c r="F89" s="9">
        <v>72.441999999999993</v>
      </c>
      <c r="G89" s="20">
        <v>-0.14401325699340395</v>
      </c>
      <c r="H89">
        <f t="shared" si="3"/>
        <v>556.79941411784114</v>
      </c>
      <c r="I89" s="5">
        <v>152.27273</v>
      </c>
      <c r="J89" s="5">
        <v>66.518960000000007</v>
      </c>
      <c r="K89" s="5">
        <v>123.74624</v>
      </c>
      <c r="L89" s="5">
        <v>33.569240000000001</v>
      </c>
      <c r="M89" s="5">
        <v>64.145399999999995</v>
      </c>
      <c r="N89">
        <v>74.546470852828136</v>
      </c>
    </row>
    <row r="90" spans="1:14" x14ac:dyDescent="0.2">
      <c r="A90" s="4">
        <v>33359</v>
      </c>
      <c r="B90" s="5">
        <v>156.86275000000001</v>
      </c>
      <c r="C90" s="9">
        <v>70.269000000000005</v>
      </c>
      <c r="D90">
        <v>5.7271192822987533</v>
      </c>
      <c r="E90">
        <f t="shared" si="2"/>
        <v>110.31028465526005</v>
      </c>
      <c r="F90" s="9">
        <v>72.787999999999997</v>
      </c>
      <c r="G90" s="20">
        <v>1.7931456577924512E-2</v>
      </c>
      <c r="H90">
        <f t="shared" si="3"/>
        <v>-69.328509925479793</v>
      </c>
      <c r="I90" s="5">
        <v>156.81818000000001</v>
      </c>
      <c r="J90" s="5">
        <v>66.765140000000002</v>
      </c>
      <c r="K90" s="5">
        <v>163.94905</v>
      </c>
      <c r="L90" s="5">
        <v>34.241500000000002</v>
      </c>
      <c r="M90" s="5">
        <v>64.125150000000005</v>
      </c>
      <c r="N90">
        <v>74.964468219524903</v>
      </c>
    </row>
    <row r="91" spans="1:14" x14ac:dyDescent="0.2">
      <c r="A91" s="4">
        <v>33390</v>
      </c>
      <c r="B91" s="5">
        <v>156.86275000000001</v>
      </c>
      <c r="C91" s="9">
        <v>70.831000000000003</v>
      </c>
      <c r="D91">
        <v>5.8135880367123232</v>
      </c>
      <c r="E91">
        <f t="shared" si="2"/>
        <v>111.97576295996863</v>
      </c>
      <c r="F91" s="9">
        <v>72.844999999999999</v>
      </c>
      <c r="G91" s="20">
        <v>0</v>
      </c>
      <c r="H91">
        <f t="shared" si="3"/>
        <v>0</v>
      </c>
      <c r="I91" s="5">
        <v>156.81818000000001</v>
      </c>
      <c r="J91" s="5">
        <v>66.962090000000003</v>
      </c>
      <c r="K91" s="5">
        <v>106.47172</v>
      </c>
      <c r="L91" s="5">
        <v>32.556829999999998</v>
      </c>
      <c r="M91" s="5">
        <v>64.185910000000007</v>
      </c>
      <c r="N91">
        <v>75.049694264695631</v>
      </c>
    </row>
    <row r="92" spans="1:14" x14ac:dyDescent="0.2">
      <c r="A92" s="4">
        <v>33420</v>
      </c>
      <c r="B92" s="5">
        <v>155.88235</v>
      </c>
      <c r="C92" s="9">
        <v>70.772500000000008</v>
      </c>
      <c r="D92">
        <v>5.7327222009579497</v>
      </c>
      <c r="E92">
        <f t="shared" si="2"/>
        <v>110.41820270650555</v>
      </c>
      <c r="F92" s="9">
        <v>72.433999999999997</v>
      </c>
      <c r="G92" s="20">
        <v>1.8212005389551013E-2</v>
      </c>
      <c r="H92">
        <f t="shared" si="3"/>
        <v>-70.413197663305539</v>
      </c>
      <c r="I92" s="5">
        <v>154.54544999999999</v>
      </c>
      <c r="J92" s="5">
        <v>67.060559999999995</v>
      </c>
      <c r="K92" s="5">
        <v>162.9776</v>
      </c>
      <c r="L92" s="5">
        <v>34.531680000000001</v>
      </c>
      <c r="M92" s="5">
        <v>64.28716</v>
      </c>
      <c r="N92">
        <v>74.885491033083028</v>
      </c>
    </row>
    <row r="93" spans="1:14" x14ac:dyDescent="0.2">
      <c r="A93" s="4">
        <v>33451</v>
      </c>
      <c r="B93" s="5">
        <v>155.88235</v>
      </c>
      <c r="C93" s="9">
        <v>71.227499999999992</v>
      </c>
      <c r="D93">
        <v>5.1824625315445232</v>
      </c>
      <c r="E93">
        <f t="shared" si="2"/>
        <v>99.819628139547902</v>
      </c>
      <c r="F93" s="9">
        <v>72.867999999999995</v>
      </c>
      <c r="G93" s="20">
        <v>-8.5759497965299913E-2</v>
      </c>
      <c r="H93">
        <f t="shared" si="3"/>
        <v>331.57251782942632</v>
      </c>
      <c r="I93" s="5">
        <v>156.81818000000001</v>
      </c>
      <c r="J93" s="5">
        <v>67.257509999999996</v>
      </c>
      <c r="K93" s="5">
        <v>113.36561</v>
      </c>
      <c r="L93" s="5">
        <v>34.963729999999998</v>
      </c>
      <c r="M93" s="5">
        <v>64.327659999999995</v>
      </c>
      <c r="N93">
        <v>74.561028612037035</v>
      </c>
    </row>
    <row r="94" spans="1:14" x14ac:dyDescent="0.2">
      <c r="A94" s="4">
        <v>33482</v>
      </c>
      <c r="B94" s="5">
        <v>156.86275000000001</v>
      </c>
      <c r="C94" s="9">
        <v>71.462999999999994</v>
      </c>
      <c r="D94">
        <v>4.9488765754689341</v>
      </c>
      <c r="E94">
        <f t="shared" si="2"/>
        <v>95.320519244468798</v>
      </c>
      <c r="F94" s="9">
        <v>73.063000000000002</v>
      </c>
      <c r="G94" s="20">
        <v>3.1961210623739314E-2</v>
      </c>
      <c r="H94">
        <f t="shared" si="3"/>
        <v>-123.5718413799228</v>
      </c>
      <c r="I94" s="5">
        <v>156.81818000000001</v>
      </c>
      <c r="J94" s="5">
        <v>67.454459999999997</v>
      </c>
      <c r="K94" s="5">
        <v>149.15907999999999</v>
      </c>
      <c r="L94" s="5">
        <v>35.236179999999997</v>
      </c>
      <c r="M94" s="5">
        <v>64.418790000000001</v>
      </c>
      <c r="N94">
        <v>74.600161430377185</v>
      </c>
    </row>
    <row r="95" spans="1:14" x14ac:dyDescent="0.2">
      <c r="A95" s="4">
        <v>33512</v>
      </c>
      <c r="B95" s="5">
        <v>158.82353000000001</v>
      </c>
      <c r="C95" s="9">
        <v>72.158500000000004</v>
      </c>
      <c r="D95">
        <v>4.5490353648760999</v>
      </c>
      <c r="E95">
        <f t="shared" si="2"/>
        <v>87.619160920446646</v>
      </c>
      <c r="F95" s="9">
        <v>73.123999999999995</v>
      </c>
      <c r="G95" s="20">
        <v>1.89485114969066E-2</v>
      </c>
      <c r="H95">
        <f t="shared" si="3"/>
        <v>-73.260756128625047</v>
      </c>
      <c r="I95" s="5">
        <v>159.09091000000001</v>
      </c>
      <c r="J95" s="5">
        <v>67.552930000000003</v>
      </c>
      <c r="K95" s="5">
        <v>85.68374</v>
      </c>
      <c r="L95" s="5">
        <v>37.446399999999997</v>
      </c>
      <c r="M95" s="5">
        <v>64.489670000000004</v>
      </c>
      <c r="N95">
        <v>74.610440178872778</v>
      </c>
    </row>
    <row r="96" spans="1:14" x14ac:dyDescent="0.2">
      <c r="A96" s="4">
        <v>33543</v>
      </c>
      <c r="B96" s="5">
        <v>161.76471000000001</v>
      </c>
      <c r="C96" s="9">
        <v>72.234499999999997</v>
      </c>
      <c r="D96">
        <v>3.9726961080800085</v>
      </c>
      <c r="E96">
        <f t="shared" si="2"/>
        <v>76.518266327299699</v>
      </c>
      <c r="F96" s="9">
        <v>73.382000000000005</v>
      </c>
      <c r="G96" s="20">
        <v>-6.9295211071300961E-2</v>
      </c>
      <c r="H96">
        <f t="shared" si="3"/>
        <v>267.91653581891916</v>
      </c>
      <c r="I96" s="5">
        <v>159.09091000000001</v>
      </c>
      <c r="J96" s="5">
        <v>67.848349999999996</v>
      </c>
      <c r="K96" s="5">
        <v>157.46483000000001</v>
      </c>
      <c r="L96" s="5">
        <v>36.216349999999998</v>
      </c>
      <c r="M96" s="5">
        <v>64.550430000000006</v>
      </c>
      <c r="N96">
        <v>74.964677045816714</v>
      </c>
    </row>
    <row r="97" spans="1:14" x14ac:dyDescent="0.2">
      <c r="A97" s="4">
        <v>33573</v>
      </c>
      <c r="B97" s="5">
        <v>164.70588000000001</v>
      </c>
      <c r="C97" s="9">
        <v>72.454499999999996</v>
      </c>
      <c r="D97">
        <v>3.3897006726115997</v>
      </c>
      <c r="E97">
        <f t="shared" si="2"/>
        <v>65.289166797627502</v>
      </c>
      <c r="F97" s="9">
        <v>73.66</v>
      </c>
      <c r="G97" s="20">
        <v>-0.24043102699061419</v>
      </c>
      <c r="H97">
        <f t="shared" si="3"/>
        <v>929.58008004954991</v>
      </c>
      <c r="I97" s="5">
        <v>165.90908999999999</v>
      </c>
      <c r="J97" s="5">
        <v>68.045299999999997</v>
      </c>
      <c r="K97" s="5">
        <v>97.081329999999994</v>
      </c>
      <c r="L97" s="5">
        <v>31.463809999999999</v>
      </c>
      <c r="M97" s="5">
        <v>64.550430000000006</v>
      </c>
      <c r="N97">
        <v>74.987056937942569</v>
      </c>
    </row>
    <row r="98" spans="1:14" x14ac:dyDescent="0.2">
      <c r="A98" s="4">
        <v>33604</v>
      </c>
      <c r="B98" s="5">
        <v>166.66667000000001</v>
      </c>
      <c r="C98" s="9">
        <v>72.352999999999994</v>
      </c>
      <c r="D98">
        <v>3.3577897550804385</v>
      </c>
      <c r="E98">
        <f t="shared" si="2"/>
        <v>64.674529276919174</v>
      </c>
      <c r="F98" s="9">
        <v>72.974000000000004</v>
      </c>
      <c r="G98" s="20">
        <v>0</v>
      </c>
      <c r="H98">
        <f t="shared" si="3"/>
        <v>0</v>
      </c>
      <c r="I98" s="5">
        <v>165.90908999999999</v>
      </c>
      <c r="J98" s="5">
        <v>68.094530000000006</v>
      </c>
      <c r="K98" s="5">
        <v>63.573680000000003</v>
      </c>
      <c r="L98" s="5">
        <v>30.340160000000001</v>
      </c>
      <c r="M98" s="5">
        <v>64.661810000000003</v>
      </c>
      <c r="N98">
        <v>75.593168264354887</v>
      </c>
    </row>
    <row r="99" spans="1:14" x14ac:dyDescent="0.2">
      <c r="A99" s="4">
        <v>33635</v>
      </c>
      <c r="B99" s="5">
        <v>167.64706000000001</v>
      </c>
      <c r="C99" s="9">
        <v>72.384</v>
      </c>
      <c r="D99">
        <v>3.5857346456788655</v>
      </c>
      <c r="E99">
        <f t="shared" si="2"/>
        <v>69.064985373292302</v>
      </c>
      <c r="F99" s="9">
        <v>73.043000000000006</v>
      </c>
      <c r="G99" s="20">
        <v>6.4007457233827983E-3</v>
      </c>
      <c r="H99">
        <f t="shared" si="3"/>
        <v>-24.747245795989837</v>
      </c>
      <c r="I99" s="5">
        <v>168.18181999999999</v>
      </c>
      <c r="J99" s="5">
        <v>68.242249999999999</v>
      </c>
      <c r="K99" s="5">
        <v>94.984970000000004</v>
      </c>
      <c r="L99" s="5">
        <v>30.62228</v>
      </c>
      <c r="M99" s="5">
        <v>64.692179999999993</v>
      </c>
      <c r="N99">
        <v>75.74341791163701</v>
      </c>
    </row>
    <row r="100" spans="1:14" x14ac:dyDescent="0.2">
      <c r="A100" s="4">
        <v>33664</v>
      </c>
      <c r="B100" s="5">
        <v>167.64706000000001</v>
      </c>
      <c r="C100" s="9">
        <v>72.715999999999994</v>
      </c>
      <c r="D100">
        <v>4.2648618383833217</v>
      </c>
      <c r="E100">
        <f t="shared" si="2"/>
        <v>82.145682710241587</v>
      </c>
      <c r="F100" s="9">
        <v>73.444999999999993</v>
      </c>
      <c r="G100" s="20">
        <v>0</v>
      </c>
      <c r="H100">
        <f t="shared" si="3"/>
        <v>0</v>
      </c>
      <c r="I100" s="5">
        <v>168.18181999999999</v>
      </c>
      <c r="J100" s="5">
        <v>68.488429999999994</v>
      </c>
      <c r="K100" s="5">
        <v>138.94703000000001</v>
      </c>
      <c r="L100" s="5">
        <v>30.49492</v>
      </c>
      <c r="M100" s="5">
        <v>64.823819999999998</v>
      </c>
      <c r="N100">
        <v>76.428582846135711</v>
      </c>
    </row>
    <row r="101" spans="1:14" x14ac:dyDescent="0.2">
      <c r="A101" s="4">
        <v>33695</v>
      </c>
      <c r="B101" s="5">
        <v>165.68627000000001</v>
      </c>
      <c r="C101" s="9">
        <v>72.876000000000005</v>
      </c>
      <c r="D101">
        <v>3.6967578043469826</v>
      </c>
      <c r="E101">
        <f t="shared" si="2"/>
        <v>71.203407088003019</v>
      </c>
      <c r="F101" s="9">
        <v>73.271000000000001</v>
      </c>
      <c r="G101" s="20">
        <v>-0.21475936249346123</v>
      </c>
      <c r="H101">
        <f t="shared" si="3"/>
        <v>830.32555272433819</v>
      </c>
      <c r="I101" s="5">
        <v>168.18181999999999</v>
      </c>
      <c r="J101" s="5">
        <v>68.636139999999997</v>
      </c>
      <c r="K101" s="5">
        <v>89.093850000000003</v>
      </c>
      <c r="L101" s="5">
        <v>32.634210000000003</v>
      </c>
      <c r="M101" s="5">
        <v>64.96557</v>
      </c>
      <c r="N101">
        <v>76.680958807051638</v>
      </c>
    </row>
    <row r="102" spans="1:14" x14ac:dyDescent="0.2">
      <c r="A102" s="4">
        <v>33725</v>
      </c>
      <c r="B102" s="5">
        <v>164.70588000000001</v>
      </c>
      <c r="C102" s="9">
        <v>72.563999999999993</v>
      </c>
      <c r="D102">
        <v>3.5064545035283459</v>
      </c>
      <c r="E102">
        <f t="shared" si="2"/>
        <v>67.537967230826951</v>
      </c>
      <c r="F102" s="9">
        <v>73.778000000000006</v>
      </c>
      <c r="G102" s="20">
        <v>3.417865271721917E-2</v>
      </c>
      <c r="H102">
        <f t="shared" si="3"/>
        <v>-132.1451525060393</v>
      </c>
      <c r="I102" s="5">
        <v>172.72727</v>
      </c>
      <c r="J102" s="5">
        <v>68.783850000000001</v>
      </c>
      <c r="K102" s="5">
        <v>102.81686999999999</v>
      </c>
      <c r="L102" s="5">
        <v>33.757860000000001</v>
      </c>
      <c r="M102" s="5">
        <v>65.056700000000006</v>
      </c>
      <c r="N102">
        <v>77.068505660436699</v>
      </c>
    </row>
    <row r="103" spans="1:14" x14ac:dyDescent="0.2">
      <c r="A103" s="4">
        <v>33756</v>
      </c>
      <c r="B103" s="5">
        <v>163.72549000000001</v>
      </c>
      <c r="C103" s="9">
        <v>73.015999999999991</v>
      </c>
      <c r="D103">
        <v>3.2540775693102639</v>
      </c>
      <c r="E103">
        <f t="shared" si="2"/>
        <v>62.676924517771369</v>
      </c>
      <c r="F103" s="9">
        <v>74.046000000000006</v>
      </c>
      <c r="G103" s="20">
        <v>0</v>
      </c>
      <c r="H103">
        <f t="shared" si="3"/>
        <v>0</v>
      </c>
      <c r="I103" s="5">
        <v>177.27273</v>
      </c>
      <c r="J103" s="5">
        <v>68.980800000000002</v>
      </c>
      <c r="K103" s="5">
        <v>157.35959</v>
      </c>
      <c r="L103" s="5">
        <v>36.071260000000002</v>
      </c>
      <c r="M103" s="5">
        <v>65.147829999999999</v>
      </c>
      <c r="N103">
        <v>77.318444702312291</v>
      </c>
    </row>
    <row r="104" spans="1:14" x14ac:dyDescent="0.2">
      <c r="A104" s="4">
        <v>33786</v>
      </c>
      <c r="B104" s="5">
        <v>162.74510000000001</v>
      </c>
      <c r="C104" s="9">
        <v>73.870999999999995</v>
      </c>
      <c r="D104">
        <v>2.4133124954690635</v>
      </c>
      <c r="E104">
        <f t="shared" si="2"/>
        <v>46.482913174184077</v>
      </c>
      <c r="F104" s="9">
        <v>74.346999999999994</v>
      </c>
      <c r="G104" s="20">
        <v>4.6132317003171192E-2</v>
      </c>
      <c r="H104">
        <f t="shared" si="3"/>
        <v>-178.3616843027217</v>
      </c>
      <c r="I104" s="5">
        <v>175</v>
      </c>
      <c r="J104" s="5">
        <v>69.17774</v>
      </c>
      <c r="K104" s="5">
        <v>65.251279999999994</v>
      </c>
      <c r="L104" s="5">
        <v>35.078189999999999</v>
      </c>
      <c r="M104" s="5">
        <v>65.309839999999994</v>
      </c>
      <c r="N104">
        <v>77.625586280082445</v>
      </c>
    </row>
    <row r="105" spans="1:14" x14ac:dyDescent="0.2">
      <c r="A105" s="4">
        <v>33817</v>
      </c>
      <c r="B105" s="5">
        <v>161.76471000000001</v>
      </c>
      <c r="C105" s="9">
        <v>73.41749999999999</v>
      </c>
      <c r="D105">
        <v>2.3539917501867906</v>
      </c>
      <c r="E105">
        <f t="shared" si="2"/>
        <v>45.340333811768005</v>
      </c>
      <c r="F105" s="9">
        <v>74.16</v>
      </c>
      <c r="G105" s="20">
        <v>6.3740291394451774E-3</v>
      </c>
      <c r="H105">
        <f t="shared" si="3"/>
        <v>-24.643951289676583</v>
      </c>
      <c r="I105" s="5">
        <v>172.72727</v>
      </c>
      <c r="J105" s="5">
        <v>69.325460000000007</v>
      </c>
      <c r="K105" s="5">
        <v>77.682500000000005</v>
      </c>
      <c r="L105" s="5">
        <v>34.41883</v>
      </c>
      <c r="M105" s="5">
        <v>65.471850000000003</v>
      </c>
      <c r="N105">
        <v>77.760181576862237</v>
      </c>
    </row>
    <row r="106" spans="1:14" x14ac:dyDescent="0.2">
      <c r="A106" s="4">
        <v>33848</v>
      </c>
      <c r="B106" s="5">
        <v>160.78431</v>
      </c>
      <c r="C106" s="9">
        <v>74.377499999999998</v>
      </c>
      <c r="D106">
        <v>2.0247938134657848</v>
      </c>
      <c r="E106">
        <f t="shared" si="2"/>
        <v>38.999638548120075</v>
      </c>
      <c r="F106" s="9">
        <v>73.97</v>
      </c>
      <c r="G106" s="20">
        <v>-7.7545743239196578E-3</v>
      </c>
      <c r="H106">
        <f t="shared" si="3"/>
        <v>29.981562325817546</v>
      </c>
      <c r="I106" s="5">
        <v>172.72727</v>
      </c>
      <c r="J106" s="5">
        <v>69.473169999999996</v>
      </c>
      <c r="K106" s="5">
        <v>68.415989999999994</v>
      </c>
      <c r="L106" s="5">
        <v>35.308720000000001</v>
      </c>
      <c r="M106" s="5">
        <v>65.57311</v>
      </c>
      <c r="N106">
        <v>77.729410414542855</v>
      </c>
    </row>
    <row r="107" spans="1:14" x14ac:dyDescent="0.2">
      <c r="A107" s="4">
        <v>33878</v>
      </c>
      <c r="B107" s="5">
        <v>159.80392000000001</v>
      </c>
      <c r="C107" s="9">
        <v>74.400499999999994</v>
      </c>
      <c r="D107">
        <v>2.2382893493464922</v>
      </c>
      <c r="E107">
        <f t="shared" si="2"/>
        <v>43.111785017361292</v>
      </c>
      <c r="F107" s="9">
        <v>74.174000000000007</v>
      </c>
      <c r="G107" s="20">
        <v>1.677517971418906E-2</v>
      </c>
      <c r="H107">
        <f t="shared" si="3"/>
        <v>-64.857988990623056</v>
      </c>
      <c r="I107" s="5">
        <v>165.90908999999999</v>
      </c>
      <c r="J107" s="5">
        <v>69.768590000000003</v>
      </c>
      <c r="K107" s="5">
        <v>138.82858999999999</v>
      </c>
      <c r="L107" s="5">
        <v>34.963729999999998</v>
      </c>
      <c r="M107" s="5">
        <v>65.816119999999998</v>
      </c>
      <c r="N107">
        <v>77.962653855559452</v>
      </c>
    </row>
    <row r="108" spans="1:14" x14ac:dyDescent="0.2">
      <c r="A108" s="4">
        <v>33909</v>
      </c>
      <c r="B108" s="5">
        <v>160.78431</v>
      </c>
      <c r="C108" s="9">
        <v>74.406000000000006</v>
      </c>
      <c r="D108">
        <v>2.8857119049785931</v>
      </c>
      <c r="E108">
        <f t="shared" si="2"/>
        <v>55.581818010169414</v>
      </c>
      <c r="F108" s="9">
        <v>74.486999999999995</v>
      </c>
      <c r="G108" s="20">
        <v>1.1345167297352335E-2</v>
      </c>
      <c r="H108">
        <f t="shared" si="3"/>
        <v>-43.863895839283742</v>
      </c>
      <c r="I108" s="5">
        <v>168.18181999999999</v>
      </c>
      <c r="J108" s="5">
        <v>69.965530000000001</v>
      </c>
      <c r="K108" s="5">
        <v>120.19394</v>
      </c>
      <c r="L108" s="5">
        <v>32.793810000000001</v>
      </c>
      <c r="M108" s="5">
        <v>65.917379999999994</v>
      </c>
      <c r="N108">
        <v>77.984700584977176</v>
      </c>
    </row>
    <row r="109" spans="1:14" x14ac:dyDescent="0.2">
      <c r="A109" s="4">
        <v>33939</v>
      </c>
      <c r="B109" s="5">
        <v>162.74510000000001</v>
      </c>
      <c r="C109" s="9">
        <v>74.302500000000009</v>
      </c>
      <c r="D109">
        <v>3.142487936411281</v>
      </c>
      <c r="E109">
        <f t="shared" si="2"/>
        <v>60.527591919145628</v>
      </c>
      <c r="F109" s="9">
        <v>74.47</v>
      </c>
      <c r="G109" s="20">
        <v>2.4710170388302505E-3</v>
      </c>
      <c r="H109">
        <f t="shared" si="3"/>
        <v>-9.5537096252111215</v>
      </c>
      <c r="I109" s="5">
        <v>168.18181999999999</v>
      </c>
      <c r="J109" s="5">
        <v>70.064009999999996</v>
      </c>
      <c r="K109" s="5">
        <v>68.904120000000006</v>
      </c>
      <c r="L109" s="5">
        <v>31.286470000000001</v>
      </c>
      <c r="M109" s="5">
        <v>66.119889999999998</v>
      </c>
      <c r="N109">
        <v>78.273480923474636</v>
      </c>
    </row>
    <row r="110" spans="1:14" x14ac:dyDescent="0.2">
      <c r="A110" s="4">
        <v>33970</v>
      </c>
      <c r="B110" s="5">
        <v>164.70588000000001</v>
      </c>
      <c r="C110" s="9">
        <v>74.231999999999999</v>
      </c>
      <c r="D110">
        <v>2.7332240548405027</v>
      </c>
      <c r="E110">
        <f t="shared" si="2"/>
        <v>52.644743134290486</v>
      </c>
      <c r="F110" s="9">
        <v>74.301000000000002</v>
      </c>
      <c r="G110" s="20">
        <v>0</v>
      </c>
      <c r="H110">
        <f t="shared" si="3"/>
        <v>0</v>
      </c>
      <c r="I110" s="5">
        <v>165.90908999999999</v>
      </c>
      <c r="J110" s="5">
        <v>70.310190000000006</v>
      </c>
      <c r="K110" s="5">
        <v>126.32049000000001</v>
      </c>
      <c r="L110" s="5">
        <v>30.751249999999999</v>
      </c>
      <c r="M110" s="5">
        <v>66.332520000000002</v>
      </c>
      <c r="N110">
        <v>78.139088517435212</v>
      </c>
    </row>
    <row r="111" spans="1:14" x14ac:dyDescent="0.2">
      <c r="A111" s="4">
        <v>34001</v>
      </c>
      <c r="B111" s="5">
        <v>167.64706000000001</v>
      </c>
      <c r="C111" s="9">
        <v>74.166499999999999</v>
      </c>
      <c r="D111">
        <v>2.5108157372005628</v>
      </c>
      <c r="E111">
        <f t="shared" si="2"/>
        <v>48.360927201839402</v>
      </c>
      <c r="F111" s="9">
        <v>74.177000000000007</v>
      </c>
      <c r="G111" s="20">
        <v>7.34472190213968E-3</v>
      </c>
      <c r="H111">
        <f t="shared" si="3"/>
        <v>-28.396947179363895</v>
      </c>
      <c r="I111" s="5">
        <v>161.36364</v>
      </c>
      <c r="J111" s="5">
        <v>70.457899999999995</v>
      </c>
      <c r="K111" s="5">
        <v>84.262950000000004</v>
      </c>
      <c r="L111" s="5">
        <v>32.327910000000003</v>
      </c>
      <c r="M111" s="5">
        <v>66.605909999999994</v>
      </c>
      <c r="N111">
        <v>78.502265565631134</v>
      </c>
    </row>
    <row r="112" spans="1:14" x14ac:dyDescent="0.2">
      <c r="A112" s="4">
        <v>34029</v>
      </c>
      <c r="B112" s="5">
        <v>168.62745000000001</v>
      </c>
      <c r="C112" s="9">
        <v>74.742999999999995</v>
      </c>
      <c r="D112">
        <v>2.5451186580940171</v>
      </c>
      <c r="E112">
        <f t="shared" si="2"/>
        <v>49.021637199614226</v>
      </c>
      <c r="F112" s="9">
        <v>74.251999999999995</v>
      </c>
      <c r="G112" s="20">
        <v>8.9767118179940025E-3</v>
      </c>
      <c r="H112">
        <f t="shared" si="3"/>
        <v>-34.70672065414567</v>
      </c>
      <c r="I112" s="5">
        <v>159.09091000000001</v>
      </c>
      <c r="J112" s="5">
        <v>70.556380000000004</v>
      </c>
      <c r="K112" s="5">
        <v>62.402009999999997</v>
      </c>
      <c r="L112" s="5">
        <v>32.801870000000001</v>
      </c>
      <c r="M112" s="5">
        <v>66.707170000000005</v>
      </c>
      <c r="N112">
        <v>78.562161220604196</v>
      </c>
    </row>
    <row r="113" spans="1:14" x14ac:dyDescent="0.2">
      <c r="A113" s="4">
        <v>34060</v>
      </c>
      <c r="B113" s="5">
        <v>169.60784000000001</v>
      </c>
      <c r="C113" s="9">
        <v>74.613</v>
      </c>
      <c r="D113">
        <v>2.3421056642177112</v>
      </c>
      <c r="E113">
        <f t="shared" si="2"/>
        <v>45.111395411490832</v>
      </c>
      <c r="F113" s="9">
        <v>74.466999999999999</v>
      </c>
      <c r="G113" s="20">
        <v>0</v>
      </c>
      <c r="H113">
        <f t="shared" si="3"/>
        <v>0</v>
      </c>
      <c r="I113" s="5">
        <v>161.36364</v>
      </c>
      <c r="J113" s="5">
        <v>70.80256</v>
      </c>
      <c r="K113" s="5">
        <v>150.30088000000001</v>
      </c>
      <c r="L113" s="5">
        <v>32.67774</v>
      </c>
      <c r="M113" s="5">
        <v>66.879300000000001</v>
      </c>
      <c r="N113">
        <v>78.811169884225833</v>
      </c>
    </row>
    <row r="114" spans="1:14" x14ac:dyDescent="0.2">
      <c r="A114" s="4">
        <v>34090</v>
      </c>
      <c r="B114" s="5">
        <v>169.60784000000001</v>
      </c>
      <c r="C114" s="9">
        <v>74.856499999999997</v>
      </c>
      <c r="D114">
        <v>2.5010684990227099</v>
      </c>
      <c r="E114">
        <f t="shared" si="2"/>
        <v>48.173185238558688</v>
      </c>
      <c r="F114" s="9">
        <v>74.813000000000002</v>
      </c>
      <c r="G114" s="20">
        <v>-9.3840956557617976E-3</v>
      </c>
      <c r="H114">
        <f t="shared" si="3"/>
        <v>36.281791497801237</v>
      </c>
      <c r="I114" s="5">
        <v>161.36364</v>
      </c>
      <c r="J114" s="5">
        <v>70.999510000000001</v>
      </c>
      <c r="K114" s="5">
        <v>109.17091000000001</v>
      </c>
      <c r="L114" s="5">
        <v>32.145740000000004</v>
      </c>
      <c r="M114" s="5">
        <v>67.071690000000004</v>
      </c>
      <c r="N114">
        <v>79.004909962062158</v>
      </c>
    </row>
    <row r="115" spans="1:14" x14ac:dyDescent="0.2">
      <c r="A115" s="4">
        <v>34121</v>
      </c>
      <c r="B115" s="5">
        <v>169.60784000000001</v>
      </c>
      <c r="C115" s="9">
        <v>74.967999999999989</v>
      </c>
      <c r="D115">
        <v>2.9006282029340089</v>
      </c>
      <c r="E115">
        <f t="shared" si="2"/>
        <v>55.869121450583201</v>
      </c>
      <c r="F115" s="9">
        <v>74.88</v>
      </c>
      <c r="G115" s="20">
        <v>0</v>
      </c>
      <c r="H115">
        <f t="shared" si="3"/>
        <v>0</v>
      </c>
      <c r="I115" s="5">
        <v>159.09091000000001</v>
      </c>
      <c r="J115" s="5">
        <v>71.048739999999995</v>
      </c>
      <c r="K115" s="5">
        <v>93.506889999999999</v>
      </c>
      <c r="L115" s="5">
        <v>30.743189999999998</v>
      </c>
      <c r="M115" s="5">
        <v>67.284329999999997</v>
      </c>
      <c r="N115">
        <v>78.83072046023878</v>
      </c>
    </row>
    <row r="116" spans="1:14" x14ac:dyDescent="0.2">
      <c r="A116" s="4">
        <v>34151</v>
      </c>
      <c r="B116" s="5">
        <v>168.62745000000001</v>
      </c>
      <c r="C116" s="9">
        <v>75.039999999999992</v>
      </c>
      <c r="D116">
        <v>2.8106603277680766</v>
      </c>
      <c r="E116">
        <f t="shared" si="2"/>
        <v>54.136246434332548</v>
      </c>
      <c r="F116" s="9">
        <v>74.533000000000001</v>
      </c>
      <c r="G116" s="20">
        <v>-5.6885941703997394E-3</v>
      </c>
      <c r="H116">
        <f t="shared" si="3"/>
        <v>21.993849506353534</v>
      </c>
      <c r="I116" s="5">
        <v>156.81818000000001</v>
      </c>
      <c r="J116" s="5">
        <v>71.147220000000004</v>
      </c>
      <c r="K116" s="5">
        <v>61.963839999999998</v>
      </c>
      <c r="L116" s="5">
        <v>28.80219</v>
      </c>
      <c r="M116" s="5">
        <v>67.517210000000006</v>
      </c>
      <c r="N116">
        <v>78.715120555965839</v>
      </c>
    </row>
    <row r="117" spans="1:14" x14ac:dyDescent="0.2">
      <c r="A117" s="4">
        <v>34182</v>
      </c>
      <c r="B117" s="5">
        <v>167.64706000000001</v>
      </c>
      <c r="C117" s="9">
        <v>75.090999999999994</v>
      </c>
      <c r="D117">
        <v>2.8592833201203147</v>
      </c>
      <c r="E117">
        <f t="shared" si="2"/>
        <v>55.072775928967602</v>
      </c>
      <c r="F117" s="9">
        <v>74.643000000000001</v>
      </c>
      <c r="G117" s="20">
        <v>1.5537296431836867E-2</v>
      </c>
      <c r="H117">
        <f t="shared" si="3"/>
        <v>-60.071952616266643</v>
      </c>
      <c r="I117" s="5">
        <v>154.54544999999999</v>
      </c>
      <c r="J117" s="5">
        <v>71.294929999999994</v>
      </c>
      <c r="K117" s="5">
        <v>92.786069999999995</v>
      </c>
      <c r="L117" s="5">
        <v>29.032730000000001</v>
      </c>
      <c r="M117" s="5">
        <v>67.719719999999995</v>
      </c>
      <c r="N117">
        <v>78.931985593726452</v>
      </c>
    </row>
    <row r="118" spans="1:14" x14ac:dyDescent="0.2">
      <c r="A118" s="4">
        <v>34213</v>
      </c>
      <c r="B118" s="5">
        <v>166.66667000000001</v>
      </c>
      <c r="C118" s="9">
        <v>75.516500000000008</v>
      </c>
      <c r="D118">
        <v>2.9426869357635752</v>
      </c>
      <c r="E118">
        <f t="shared" si="2"/>
        <v>56.679216467288839</v>
      </c>
      <c r="F118" s="9">
        <v>74.853999999999999</v>
      </c>
      <c r="G118" s="20">
        <v>2.8407285741082863E-3</v>
      </c>
      <c r="H118">
        <f t="shared" si="3"/>
        <v>-10.983127794990079</v>
      </c>
      <c r="I118" s="5">
        <v>152.27273</v>
      </c>
      <c r="J118" s="5">
        <v>71.3934</v>
      </c>
      <c r="K118" s="5">
        <v>85.634270000000001</v>
      </c>
      <c r="L118" s="5">
        <v>28.234729999999999</v>
      </c>
      <c r="M118" s="5">
        <v>67.952610000000007</v>
      </c>
      <c r="N118">
        <v>79.429328590733761</v>
      </c>
    </row>
    <row r="119" spans="1:14" x14ac:dyDescent="0.2">
      <c r="A119" s="4">
        <v>34243</v>
      </c>
      <c r="B119" s="5">
        <v>164.70588000000001</v>
      </c>
      <c r="C119" s="9">
        <v>75.728499999999997</v>
      </c>
      <c r="D119">
        <v>2.9387393076095321</v>
      </c>
      <c r="E119">
        <f t="shared" si="2"/>
        <v>56.603181035875437</v>
      </c>
      <c r="F119" s="9">
        <v>74.724999999999994</v>
      </c>
      <c r="G119" s="20">
        <v>0</v>
      </c>
      <c r="H119">
        <f t="shared" si="3"/>
        <v>0</v>
      </c>
      <c r="I119" s="5">
        <v>154.54544999999999</v>
      </c>
      <c r="J119" s="5">
        <v>71.688820000000007</v>
      </c>
      <c r="K119" s="5">
        <v>135.74581000000001</v>
      </c>
      <c r="L119" s="5">
        <v>29.25197</v>
      </c>
      <c r="M119" s="5">
        <v>68.104500000000002</v>
      </c>
      <c r="N119">
        <v>79.784014692410224</v>
      </c>
    </row>
    <row r="120" spans="1:14" x14ac:dyDescent="0.2">
      <c r="A120" s="4">
        <v>34274</v>
      </c>
      <c r="B120" s="5">
        <v>162.74510000000001</v>
      </c>
      <c r="C120" s="9">
        <v>75.906999999999996</v>
      </c>
      <c r="D120">
        <v>3.094556878021093</v>
      </c>
      <c r="E120">
        <f t="shared" si="2"/>
        <v>59.604389793568934</v>
      </c>
      <c r="F120" s="9">
        <v>74.662999999999997</v>
      </c>
      <c r="G120" s="20">
        <v>9.1303445157760628E-3</v>
      </c>
      <c r="H120">
        <f t="shared" si="3"/>
        <v>-35.300711776215167</v>
      </c>
      <c r="I120" s="5">
        <v>150</v>
      </c>
      <c r="J120" s="5">
        <v>71.885769999999994</v>
      </c>
      <c r="K120" s="5">
        <v>133.40681000000001</v>
      </c>
      <c r="L120" s="5">
        <v>26.920839999999998</v>
      </c>
      <c r="M120" s="5">
        <v>68.388009999999994</v>
      </c>
      <c r="N120">
        <v>79.934681057400752</v>
      </c>
    </row>
    <row r="121" spans="1:14" x14ac:dyDescent="0.2">
      <c r="A121" s="4">
        <v>34304</v>
      </c>
      <c r="B121" s="5">
        <v>159.80392000000001</v>
      </c>
      <c r="C121" s="9">
        <v>75.975499999999997</v>
      </c>
      <c r="D121">
        <v>3.1465169974851555</v>
      </c>
      <c r="E121">
        <f t="shared" si="2"/>
        <v>60.605195833442679</v>
      </c>
      <c r="F121" s="9">
        <v>74.424000000000007</v>
      </c>
      <c r="G121" s="20">
        <v>5.9027265123554442E-3</v>
      </c>
      <c r="H121">
        <f t="shared" si="3"/>
        <v>-22.821750805399066</v>
      </c>
      <c r="I121" s="5">
        <v>147.72727</v>
      </c>
      <c r="J121" s="5">
        <v>72.033479999999997</v>
      </c>
      <c r="K121" s="5">
        <v>103.38137</v>
      </c>
      <c r="L121" s="5">
        <v>23.391909999999999</v>
      </c>
      <c r="M121" s="5">
        <v>68.6614</v>
      </c>
      <c r="N121">
        <v>80.311517648417649</v>
      </c>
    </row>
    <row r="122" spans="1:14" x14ac:dyDescent="0.2">
      <c r="A122" s="4">
        <v>34335</v>
      </c>
      <c r="B122" s="5">
        <v>155.88235</v>
      </c>
      <c r="C122" s="9">
        <v>75.923000000000002</v>
      </c>
      <c r="D122">
        <v>2.9629571829779575</v>
      </c>
      <c r="E122">
        <f t="shared" si="2"/>
        <v>57.069642548890108</v>
      </c>
      <c r="F122" s="9">
        <v>74.378</v>
      </c>
      <c r="G122" s="20">
        <v>0</v>
      </c>
      <c r="H122">
        <f t="shared" si="3"/>
        <v>0</v>
      </c>
      <c r="I122" s="5">
        <v>150</v>
      </c>
      <c r="J122" s="5">
        <v>72.033479999999997</v>
      </c>
      <c r="K122" s="5">
        <v>99.494609999999994</v>
      </c>
      <c r="L122" s="5">
        <v>24.181850000000001</v>
      </c>
      <c r="M122" s="5">
        <v>68.853790000000004</v>
      </c>
      <c r="N122">
        <v>80.743824302832493</v>
      </c>
    </row>
    <row r="123" spans="1:14" x14ac:dyDescent="0.2">
      <c r="A123" s="4">
        <v>34366</v>
      </c>
      <c r="B123" s="5">
        <v>152.94118</v>
      </c>
      <c r="C123" s="9">
        <v>76.031000000000006</v>
      </c>
      <c r="D123">
        <v>3.2573790303104562</v>
      </c>
      <c r="E123">
        <f t="shared" si="2"/>
        <v>62.740514096538327</v>
      </c>
      <c r="F123" s="9">
        <v>74.751000000000005</v>
      </c>
      <c r="G123" s="20">
        <v>0.16033076183312878</v>
      </c>
      <c r="H123">
        <f t="shared" si="3"/>
        <v>-619.88789169487393</v>
      </c>
      <c r="I123" s="5">
        <v>150</v>
      </c>
      <c r="J123" s="5">
        <v>72.230429999999998</v>
      </c>
      <c r="K123" s="5">
        <v>132.29693</v>
      </c>
      <c r="L123" s="5">
        <v>23.827179999999998</v>
      </c>
      <c r="M123" s="5">
        <v>69.066419999999994</v>
      </c>
      <c r="N123">
        <v>80.698395340126112</v>
      </c>
    </row>
    <row r="124" spans="1:14" x14ac:dyDescent="0.2">
      <c r="A124" s="4">
        <v>34394</v>
      </c>
      <c r="B124" s="5">
        <v>149.01961</v>
      </c>
      <c r="C124" s="9">
        <v>76.839500000000001</v>
      </c>
      <c r="D124">
        <v>3.7454989006134394</v>
      </c>
      <c r="E124">
        <f t="shared" si="2"/>
        <v>72.142211387082355</v>
      </c>
      <c r="F124" s="9">
        <v>75.456000000000003</v>
      </c>
      <c r="G124" s="20">
        <v>-4.5667371296650869E-2</v>
      </c>
      <c r="H124">
        <f t="shared" si="3"/>
        <v>176.56406162275567</v>
      </c>
      <c r="I124" s="5">
        <v>147.72727</v>
      </c>
      <c r="J124" s="5">
        <v>72.427379999999999</v>
      </c>
      <c r="K124" s="5">
        <v>79.783500000000004</v>
      </c>
      <c r="L124" s="5">
        <v>23.63373</v>
      </c>
      <c r="M124" s="5">
        <v>69.380319999999998</v>
      </c>
      <c r="N124">
        <v>80.853394652248042</v>
      </c>
    </row>
    <row r="125" spans="1:14" x14ac:dyDescent="0.2">
      <c r="A125" s="4">
        <v>34425</v>
      </c>
      <c r="B125" s="5">
        <v>145.09804</v>
      </c>
      <c r="C125" s="9">
        <v>76.908500000000004</v>
      </c>
      <c r="D125">
        <v>4.4351992391916228</v>
      </c>
      <c r="E125">
        <f t="shared" si="2"/>
        <v>85.426558530075908</v>
      </c>
      <c r="F125" s="9">
        <v>75.382000000000005</v>
      </c>
      <c r="G125" s="20">
        <v>9.9648867421261639E-2</v>
      </c>
      <c r="H125">
        <f t="shared" si="3"/>
        <v>-385.27307940966983</v>
      </c>
      <c r="I125" s="5">
        <v>145.45455000000001</v>
      </c>
      <c r="J125" s="5">
        <v>72.476609999999994</v>
      </c>
      <c r="K125" s="5">
        <v>92.263549999999995</v>
      </c>
      <c r="L125" s="5">
        <v>26.406580000000002</v>
      </c>
      <c r="M125" s="5">
        <v>69.653710000000004</v>
      </c>
      <c r="N125">
        <v>80.926643216972693</v>
      </c>
    </row>
    <row r="126" spans="1:14" x14ac:dyDescent="0.2">
      <c r="A126" s="4">
        <v>34455</v>
      </c>
      <c r="B126" s="5">
        <v>142.15685999999999</v>
      </c>
      <c r="C126" s="9">
        <v>76.967500000000001</v>
      </c>
      <c r="D126">
        <v>5.0663509577990826</v>
      </c>
      <c r="E126">
        <f t="shared" si="2"/>
        <v>97.583198248657126</v>
      </c>
      <c r="F126" s="9">
        <v>75.778000000000006</v>
      </c>
      <c r="G126" s="20">
        <v>-4.7385125428335888E-2</v>
      </c>
      <c r="H126">
        <f t="shared" si="3"/>
        <v>183.20542585608123</v>
      </c>
      <c r="I126" s="5">
        <v>138.63636</v>
      </c>
      <c r="J126" s="5">
        <v>72.624319999999997</v>
      </c>
      <c r="K126" s="5">
        <v>106.46720999999999</v>
      </c>
      <c r="L126" s="5">
        <v>28.824760000000001</v>
      </c>
      <c r="M126" s="5">
        <v>69.987849999999995</v>
      </c>
      <c r="N126">
        <v>81.584009678722509</v>
      </c>
    </row>
    <row r="127" spans="1:14" x14ac:dyDescent="0.2">
      <c r="A127" s="4">
        <v>34486</v>
      </c>
      <c r="B127" s="5">
        <v>140.19607999999999</v>
      </c>
      <c r="C127" s="9">
        <v>77.100500000000011</v>
      </c>
      <c r="D127">
        <v>4.9648036230602601</v>
      </c>
      <c r="E127">
        <f t="shared" si="2"/>
        <v>95.627290776004259</v>
      </c>
      <c r="F127" s="9">
        <v>75.897999999999996</v>
      </c>
      <c r="G127" s="20">
        <v>0</v>
      </c>
      <c r="H127">
        <f t="shared" si="3"/>
        <v>0</v>
      </c>
      <c r="I127" s="5">
        <v>138.63636</v>
      </c>
      <c r="J127" s="5">
        <v>72.821269999999998</v>
      </c>
      <c r="K127" s="5">
        <v>106.20959999999999</v>
      </c>
      <c r="L127" s="5">
        <v>30.743189999999998</v>
      </c>
      <c r="M127" s="5">
        <v>70.251109999999997</v>
      </c>
      <c r="N127">
        <v>81.523265681023588</v>
      </c>
    </row>
    <row r="128" spans="1:14" x14ac:dyDescent="0.2">
      <c r="A128" s="4">
        <v>34516</v>
      </c>
      <c r="B128" s="5">
        <v>139.21569</v>
      </c>
      <c r="C128" s="9">
        <v>77.325500000000005</v>
      </c>
      <c r="D128">
        <v>5.158232850805355</v>
      </c>
      <c r="E128">
        <f t="shared" si="2"/>
        <v>99.352939242792289</v>
      </c>
      <c r="F128" s="9">
        <v>76.222999999999999</v>
      </c>
      <c r="G128" s="20">
        <v>1.0069530624807232E-2</v>
      </c>
      <c r="H128">
        <f t="shared" si="3"/>
        <v>-38.931893281124268</v>
      </c>
      <c r="I128" s="5">
        <v>138.63636</v>
      </c>
      <c r="J128" s="5">
        <v>73.067449999999994</v>
      </c>
      <c r="K128" s="5">
        <v>75.927999999999997</v>
      </c>
      <c r="L128" s="5">
        <v>31.67822</v>
      </c>
      <c r="M128" s="5">
        <v>70.514380000000003</v>
      </c>
      <c r="N128">
        <v>81.861159319363679</v>
      </c>
    </row>
    <row r="129" spans="1:14" x14ac:dyDescent="0.2">
      <c r="A129" s="4">
        <v>34547</v>
      </c>
      <c r="B129" s="5">
        <v>139.21569</v>
      </c>
      <c r="C129" s="9">
        <v>77.5535</v>
      </c>
      <c r="D129">
        <v>5.2470955747418468</v>
      </c>
      <c r="E129">
        <f t="shared" si="2"/>
        <v>101.0645278948697</v>
      </c>
      <c r="F129" s="9">
        <v>76.239999999999995</v>
      </c>
      <c r="G129" s="20">
        <v>3.238334358457743E-2</v>
      </c>
      <c r="H129">
        <f t="shared" si="3"/>
        <v>-125.20393685628063</v>
      </c>
      <c r="I129" s="5">
        <v>136.36364</v>
      </c>
      <c r="J129" s="5">
        <v>73.362880000000004</v>
      </c>
      <c r="K129" s="5">
        <v>129.10085000000001</v>
      </c>
      <c r="L129" s="5">
        <v>29.63082</v>
      </c>
      <c r="M129" s="5">
        <v>70.808019999999999</v>
      </c>
      <c r="N129">
        <v>82.364557214416095</v>
      </c>
    </row>
    <row r="130" spans="1:14" x14ac:dyDescent="0.2">
      <c r="A130" s="4">
        <v>34578</v>
      </c>
      <c r="B130" s="5">
        <v>138.23528999999999</v>
      </c>
      <c r="C130" s="9">
        <v>77.888999999999996</v>
      </c>
      <c r="D130">
        <v>5.3553714922028659</v>
      </c>
      <c r="E130">
        <f t="shared" si="2"/>
        <v>103.15003488148871</v>
      </c>
      <c r="F130" s="9">
        <v>76.144000000000005</v>
      </c>
      <c r="G130" s="20">
        <v>-4.7055550329447348E-3</v>
      </c>
      <c r="H130">
        <f t="shared" si="3"/>
        <v>18.193118745747761</v>
      </c>
      <c r="I130" s="5">
        <v>134.09091000000001</v>
      </c>
      <c r="J130" s="5">
        <v>73.510589999999993</v>
      </c>
      <c r="K130" s="5">
        <v>137.48044999999999</v>
      </c>
      <c r="L130" s="5">
        <v>28.147670000000002</v>
      </c>
      <c r="M130" s="5">
        <v>71.071280000000002</v>
      </c>
      <c r="N130">
        <v>82.865697929359911</v>
      </c>
    </row>
    <row r="131" spans="1:14" x14ac:dyDescent="0.2">
      <c r="A131" s="4">
        <v>34608</v>
      </c>
      <c r="B131" s="5">
        <v>137.25489999999999</v>
      </c>
      <c r="C131" s="9">
        <v>77.947000000000003</v>
      </c>
      <c r="D131">
        <v>5.7063182445060505</v>
      </c>
      <c r="E131">
        <f t="shared" ref="E131:E194" si="4">(D131 / $D$277) * 100</f>
        <v>109.90963499407178</v>
      </c>
      <c r="F131" s="9">
        <v>75.566000000000003</v>
      </c>
      <c r="G131" s="20">
        <v>0</v>
      </c>
      <c r="H131">
        <f t="shared" ref="H131:H194" si="5">(G131 / G$277) * 100</f>
        <v>0</v>
      </c>
      <c r="I131" s="5">
        <v>131.81818000000001</v>
      </c>
      <c r="J131" s="5">
        <v>73.559820000000002</v>
      </c>
      <c r="K131" s="5">
        <v>81.463279999999997</v>
      </c>
      <c r="L131" s="5">
        <v>28.550699999999999</v>
      </c>
      <c r="M131" s="5">
        <v>71.314300000000003</v>
      </c>
      <c r="N131">
        <v>83.187641665764744</v>
      </c>
    </row>
    <row r="132" spans="1:14" x14ac:dyDescent="0.2">
      <c r="A132" s="4">
        <v>34639</v>
      </c>
      <c r="B132" s="5">
        <v>135.29411999999999</v>
      </c>
      <c r="C132" s="9">
        <v>78.114999999999995</v>
      </c>
      <c r="D132">
        <v>6.2188892386951835</v>
      </c>
      <c r="E132">
        <f t="shared" si="4"/>
        <v>119.78228640711133</v>
      </c>
      <c r="F132" s="9">
        <v>75.738</v>
      </c>
      <c r="G132" s="20">
        <v>4.6071518802004115E-2</v>
      </c>
      <c r="H132">
        <f t="shared" si="5"/>
        <v>-178.12661981285464</v>
      </c>
      <c r="I132" s="5">
        <v>127.27273</v>
      </c>
      <c r="J132" s="5">
        <v>73.756770000000003</v>
      </c>
      <c r="K132" s="5">
        <v>161.14532</v>
      </c>
      <c r="L132" s="5">
        <v>29.17943</v>
      </c>
      <c r="M132" s="5">
        <v>71.648439999999994</v>
      </c>
      <c r="N132">
        <v>83.026559246825784</v>
      </c>
    </row>
    <row r="133" spans="1:14" x14ac:dyDescent="0.2">
      <c r="A133" s="4">
        <v>34669</v>
      </c>
      <c r="B133" s="5">
        <v>134.31372999999999</v>
      </c>
      <c r="C133" s="9">
        <v>78.848000000000013</v>
      </c>
      <c r="D133">
        <v>7.2590845361985146</v>
      </c>
      <c r="E133">
        <f t="shared" si="4"/>
        <v>139.81753165148825</v>
      </c>
      <c r="F133" s="9">
        <v>76.046000000000006</v>
      </c>
      <c r="G133" s="20">
        <v>6.6909810540146421E-3</v>
      </c>
      <c r="H133">
        <f t="shared" si="5"/>
        <v>-25.869384586722898</v>
      </c>
      <c r="I133" s="5">
        <v>125</v>
      </c>
      <c r="J133" s="5">
        <v>73.904480000000007</v>
      </c>
      <c r="K133" s="5">
        <v>44.61806</v>
      </c>
      <c r="L133" s="5">
        <v>27.66403</v>
      </c>
      <c r="M133" s="5">
        <v>71.92183</v>
      </c>
      <c r="N133">
        <v>83.49877394380222</v>
      </c>
    </row>
    <row r="134" spans="1:14" x14ac:dyDescent="0.2">
      <c r="A134" s="4">
        <v>34700</v>
      </c>
      <c r="B134" s="5">
        <v>133.33332999999999</v>
      </c>
      <c r="C134" s="9">
        <v>79.620499999999993</v>
      </c>
      <c r="D134">
        <v>7.1779121376207335</v>
      </c>
      <c r="E134">
        <f t="shared" si="4"/>
        <v>138.25406667862822</v>
      </c>
      <c r="F134" s="9">
        <v>75.92</v>
      </c>
      <c r="G134" s="20">
        <v>0</v>
      </c>
      <c r="H134">
        <f t="shared" si="5"/>
        <v>0</v>
      </c>
      <c r="I134" s="5">
        <v>127.27273</v>
      </c>
      <c r="J134" s="5">
        <v>74.101429999999993</v>
      </c>
      <c r="K134" s="5">
        <v>153.59101999999999</v>
      </c>
      <c r="L134" s="5">
        <v>29.002099999999999</v>
      </c>
      <c r="M134" s="5">
        <v>72.154719999999998</v>
      </c>
      <c r="N134">
        <v>83.529884228912181</v>
      </c>
    </row>
    <row r="135" spans="1:14" x14ac:dyDescent="0.2">
      <c r="A135" s="4">
        <v>34731</v>
      </c>
      <c r="B135" s="5">
        <v>132.35293999999999</v>
      </c>
      <c r="C135" s="9">
        <v>79.852000000000004</v>
      </c>
      <c r="D135">
        <v>6.7338342450224795</v>
      </c>
      <c r="E135">
        <f t="shared" si="4"/>
        <v>129.700663767495</v>
      </c>
      <c r="F135" s="9">
        <v>76.373999999999995</v>
      </c>
      <c r="G135" s="20">
        <v>6.4620231862514393E-2</v>
      </c>
      <c r="H135">
        <f t="shared" si="5"/>
        <v>-249.84163258563785</v>
      </c>
      <c r="I135" s="5">
        <v>122.72727</v>
      </c>
      <c r="J135" s="5">
        <v>74.298379999999995</v>
      </c>
      <c r="K135" s="5">
        <v>122.45744000000001</v>
      </c>
      <c r="L135" s="5">
        <v>29.872640000000001</v>
      </c>
      <c r="M135" s="5">
        <v>72.41798</v>
      </c>
      <c r="N135">
        <v>83.757683154821748</v>
      </c>
    </row>
    <row r="136" spans="1:14" x14ac:dyDescent="0.2">
      <c r="A136" s="4">
        <v>34759</v>
      </c>
      <c r="B136" s="5">
        <v>132.35293999999999</v>
      </c>
      <c r="C136" s="9">
        <v>80.156499999999994</v>
      </c>
      <c r="D136">
        <v>6.2787894348277344</v>
      </c>
      <c r="E136">
        <f t="shared" si="4"/>
        <v>120.93602659665308</v>
      </c>
      <c r="F136" s="9">
        <v>76.48</v>
      </c>
      <c r="G136" s="20">
        <v>3.2618689080530165E-2</v>
      </c>
      <c r="H136">
        <f t="shared" si="5"/>
        <v>-126.11385471382729</v>
      </c>
      <c r="I136" s="5">
        <v>122.72727</v>
      </c>
      <c r="J136" s="5">
        <v>74.446089999999998</v>
      </c>
      <c r="K136" s="5">
        <v>119.77676</v>
      </c>
      <c r="L136" s="5">
        <v>29.904879999999999</v>
      </c>
      <c r="M136" s="5">
        <v>72.640749999999997</v>
      </c>
      <c r="N136">
        <v>83.74199715245922</v>
      </c>
    </row>
    <row r="137" spans="1:14" x14ac:dyDescent="0.2">
      <c r="A137" s="4">
        <v>34790</v>
      </c>
      <c r="B137" s="5">
        <v>133.33332999999999</v>
      </c>
      <c r="C137" s="9">
        <v>79.925000000000011</v>
      </c>
      <c r="D137">
        <v>6.0208864069115107</v>
      </c>
      <c r="E137">
        <f t="shared" si="4"/>
        <v>115.96854556114842</v>
      </c>
      <c r="F137" s="9">
        <v>76.34</v>
      </c>
      <c r="G137" s="20">
        <v>0</v>
      </c>
      <c r="H137">
        <f t="shared" si="5"/>
        <v>0</v>
      </c>
      <c r="I137" s="5">
        <v>131.81818000000001</v>
      </c>
      <c r="J137" s="5">
        <v>74.741510000000005</v>
      </c>
      <c r="K137" s="5">
        <v>134.23032000000001</v>
      </c>
      <c r="L137" s="5">
        <v>32.032890000000002</v>
      </c>
      <c r="M137" s="5">
        <v>72.701499999999996</v>
      </c>
      <c r="N137">
        <v>84.012188563493467</v>
      </c>
    </row>
    <row r="138" spans="1:14" x14ac:dyDescent="0.2">
      <c r="A138" s="4">
        <v>34820</v>
      </c>
      <c r="B138" s="5">
        <v>134.31372999999999</v>
      </c>
      <c r="C138" s="9">
        <v>80.412499999999994</v>
      </c>
      <c r="D138">
        <v>5.6959158720254663</v>
      </c>
      <c r="E138">
        <f t="shared" si="4"/>
        <v>109.709274461514</v>
      </c>
      <c r="F138" s="9">
        <v>76.978999999999999</v>
      </c>
      <c r="G138" s="20">
        <v>2.275852798337882E-3</v>
      </c>
      <c r="H138">
        <f t="shared" si="5"/>
        <v>-8.799144823111817</v>
      </c>
      <c r="I138" s="5">
        <v>127.27273</v>
      </c>
      <c r="J138" s="5">
        <v>74.889219999999995</v>
      </c>
      <c r="K138" s="5">
        <v>130.59629000000001</v>
      </c>
      <c r="L138" s="5">
        <v>31.823309999999999</v>
      </c>
      <c r="M138" s="5">
        <v>72.893879999999996</v>
      </c>
      <c r="N138">
        <v>83.962145999877251</v>
      </c>
    </row>
    <row r="139" spans="1:14" x14ac:dyDescent="0.2">
      <c r="A139" s="4">
        <v>34851</v>
      </c>
      <c r="B139" s="5">
        <v>135.29411999999999</v>
      </c>
      <c r="C139" s="9">
        <v>80.454999999999998</v>
      </c>
      <c r="D139">
        <v>5.3204111472804572</v>
      </c>
      <c r="E139">
        <f t="shared" si="4"/>
        <v>102.47666221192399</v>
      </c>
      <c r="F139" s="9">
        <v>77.451999999999998</v>
      </c>
      <c r="G139" s="20">
        <v>0</v>
      </c>
      <c r="H139">
        <f t="shared" si="5"/>
        <v>0</v>
      </c>
      <c r="I139" s="5">
        <v>127.27273</v>
      </c>
      <c r="J139" s="5">
        <v>75.036929999999998</v>
      </c>
      <c r="K139" s="5">
        <v>77.031769999999995</v>
      </c>
      <c r="L139" s="5">
        <v>29.695309999999999</v>
      </c>
      <c r="M139" s="5">
        <v>73.066019999999995</v>
      </c>
      <c r="N139">
        <v>83.665249509066811</v>
      </c>
    </row>
    <row r="140" spans="1:14" x14ac:dyDescent="0.2">
      <c r="A140" s="4">
        <v>34881</v>
      </c>
      <c r="B140" s="5">
        <v>136.27450999999999</v>
      </c>
      <c r="C140" s="9">
        <v>80.858499999999992</v>
      </c>
      <c r="D140">
        <v>5.2754964957990342</v>
      </c>
      <c r="E140">
        <f t="shared" si="4"/>
        <v>101.61155922630591</v>
      </c>
      <c r="F140" s="9">
        <v>77.290999999999997</v>
      </c>
      <c r="G140" s="20">
        <v>-0.24485349481283875</v>
      </c>
      <c r="H140">
        <f t="shared" si="5"/>
        <v>946.67869682815945</v>
      </c>
      <c r="I140" s="5">
        <v>129.54544999999999</v>
      </c>
      <c r="J140" s="5">
        <v>75.135400000000004</v>
      </c>
      <c r="K140" s="5">
        <v>111.26999000000001</v>
      </c>
      <c r="L140" s="5">
        <v>27.88973</v>
      </c>
      <c r="M140" s="5">
        <v>73.197649999999996</v>
      </c>
      <c r="N140">
        <v>84.112094783470354</v>
      </c>
    </row>
    <row r="141" spans="1:14" x14ac:dyDescent="0.2">
      <c r="A141" s="4">
        <v>34912</v>
      </c>
      <c r="B141" s="5">
        <v>136.27450999999999</v>
      </c>
      <c r="C141" s="9">
        <v>80.961999999999989</v>
      </c>
      <c r="D141">
        <v>5.4842645896938969</v>
      </c>
      <c r="E141">
        <f t="shared" si="4"/>
        <v>105.63265023721897</v>
      </c>
      <c r="F141" s="9">
        <v>77.400000000000006</v>
      </c>
      <c r="G141" s="20">
        <v>6.4190840422831533E-2</v>
      </c>
      <c r="H141">
        <f t="shared" si="5"/>
        <v>-248.18147360420753</v>
      </c>
      <c r="I141" s="5">
        <v>129.54544999999999</v>
      </c>
      <c r="J141" s="5">
        <v>75.283109999999994</v>
      </c>
      <c r="K141" s="5">
        <v>107.95447</v>
      </c>
      <c r="L141" s="5">
        <v>29.066579999999998</v>
      </c>
      <c r="M141" s="5">
        <v>73.390039999999999</v>
      </c>
      <c r="N141">
        <v>84.9927345562906</v>
      </c>
    </row>
    <row r="142" spans="1:14" x14ac:dyDescent="0.2">
      <c r="A142" s="4">
        <v>34943</v>
      </c>
      <c r="B142" s="5">
        <v>136.27450999999999</v>
      </c>
      <c r="C142" s="9">
        <v>81.211000000000013</v>
      </c>
      <c r="D142">
        <v>5.4823787203649452</v>
      </c>
      <c r="E142">
        <f t="shared" si="4"/>
        <v>105.59632642899268</v>
      </c>
      <c r="F142" s="9">
        <v>77.513000000000005</v>
      </c>
      <c r="G142" s="20">
        <v>7.6466776334863332E-2</v>
      </c>
      <c r="H142">
        <f t="shared" si="5"/>
        <v>-295.64400633395849</v>
      </c>
      <c r="I142" s="5">
        <v>127.27273</v>
      </c>
      <c r="J142" s="5">
        <v>75.381590000000003</v>
      </c>
      <c r="K142" s="5">
        <v>119.72687999999999</v>
      </c>
      <c r="L142" s="5">
        <v>29.389009999999999</v>
      </c>
      <c r="M142" s="5">
        <v>73.633049999999997</v>
      </c>
      <c r="N142">
        <v>85.242534828620748</v>
      </c>
    </row>
    <row r="143" spans="1:14" x14ac:dyDescent="0.2">
      <c r="A143" s="4">
        <v>34973</v>
      </c>
      <c r="B143" s="5">
        <v>135.29411999999999</v>
      </c>
      <c r="C143" s="9">
        <v>81.914500000000004</v>
      </c>
      <c r="D143">
        <v>5.4304331958183152</v>
      </c>
      <c r="E143">
        <f t="shared" si="4"/>
        <v>104.59580150243562</v>
      </c>
      <c r="F143" s="9">
        <v>77.515000000000001</v>
      </c>
      <c r="G143" s="20">
        <v>0</v>
      </c>
      <c r="H143">
        <f t="shared" si="5"/>
        <v>0</v>
      </c>
      <c r="I143" s="5">
        <v>125</v>
      </c>
      <c r="J143" s="5">
        <v>75.578530000000001</v>
      </c>
      <c r="K143" s="5">
        <v>118.39854</v>
      </c>
      <c r="L143" s="5">
        <v>28.11543</v>
      </c>
      <c r="M143" s="5">
        <v>73.835560000000001</v>
      </c>
      <c r="N143">
        <v>85.318208901408681</v>
      </c>
    </row>
    <row r="144" spans="1:14" x14ac:dyDescent="0.2">
      <c r="A144" s="4">
        <v>35004</v>
      </c>
      <c r="B144" s="5">
        <v>134.31372999999999</v>
      </c>
      <c r="C144" s="9">
        <v>81.941499999999991</v>
      </c>
      <c r="D144">
        <v>5.1672594577557582</v>
      </c>
      <c r="E144">
        <f t="shared" si="4"/>
        <v>99.52680109778241</v>
      </c>
      <c r="F144" s="9">
        <v>77.686999999999998</v>
      </c>
      <c r="G144" s="20">
        <v>4.4667656447109363E-2</v>
      </c>
      <c r="H144">
        <f t="shared" si="5"/>
        <v>-172.69885744551027</v>
      </c>
      <c r="I144" s="5">
        <v>127.27273</v>
      </c>
      <c r="J144" s="5">
        <v>75.677009999999996</v>
      </c>
      <c r="K144" s="5">
        <v>97.933719999999994</v>
      </c>
      <c r="L144" s="5">
        <v>29.002099999999999</v>
      </c>
      <c r="M144" s="5">
        <v>73.977320000000006</v>
      </c>
      <c r="N144">
        <v>85.238998530889376</v>
      </c>
    </row>
    <row r="145" spans="1:14" x14ac:dyDescent="0.2">
      <c r="A145" s="4">
        <v>35034</v>
      </c>
      <c r="B145" s="5">
        <v>132.35293999999999</v>
      </c>
      <c r="C145" s="9">
        <v>81.876999999999995</v>
      </c>
      <c r="D145">
        <v>5.1190800746383847</v>
      </c>
      <c r="E145">
        <f t="shared" si="4"/>
        <v>98.598815979222238</v>
      </c>
      <c r="F145" s="9">
        <v>78.019000000000005</v>
      </c>
      <c r="G145" s="20">
        <v>-2.8224835334922638E-2</v>
      </c>
      <c r="H145">
        <f t="shared" si="5"/>
        <v>109.12586873010773</v>
      </c>
      <c r="I145" s="5">
        <v>127.27273</v>
      </c>
      <c r="J145" s="5">
        <v>75.775480000000002</v>
      </c>
      <c r="K145" s="5">
        <v>94.646950000000004</v>
      </c>
      <c r="L145" s="5">
        <v>30.69483</v>
      </c>
      <c r="M145" s="5">
        <v>74.179829999999995</v>
      </c>
      <c r="N145">
        <v>86.249286698300807</v>
      </c>
    </row>
    <row r="146" spans="1:14" x14ac:dyDescent="0.2">
      <c r="A146" s="4">
        <v>35065</v>
      </c>
      <c r="B146" s="5">
        <v>130.39215999999999</v>
      </c>
      <c r="C146" s="9">
        <v>82.246499999999997</v>
      </c>
      <c r="D146">
        <v>4.7024587549679824</v>
      </c>
      <c r="E146">
        <f t="shared" si="4"/>
        <v>90.574255270606145</v>
      </c>
      <c r="F146" s="9">
        <v>78.152000000000001</v>
      </c>
      <c r="G146" s="20">
        <v>-3.0270769459175388E-2</v>
      </c>
      <c r="H146">
        <f t="shared" si="5"/>
        <v>117.03607745318247</v>
      </c>
      <c r="I146" s="5">
        <v>127.27273</v>
      </c>
      <c r="J146" s="5">
        <v>76.169370000000001</v>
      </c>
      <c r="K146" s="5">
        <v>138.5325</v>
      </c>
      <c r="L146" s="5">
        <v>30.436889999999998</v>
      </c>
      <c r="M146" s="5">
        <v>74.281090000000006</v>
      </c>
      <c r="N146">
        <v>86.697848187838062</v>
      </c>
    </row>
    <row r="147" spans="1:14" x14ac:dyDescent="0.2">
      <c r="A147" s="4">
        <v>35096</v>
      </c>
      <c r="B147" s="5">
        <v>131.37254999999999</v>
      </c>
      <c r="C147" s="9">
        <v>82.087000000000003</v>
      </c>
      <c r="D147">
        <v>4.3552876136235428</v>
      </c>
      <c r="E147">
        <f t="shared" si="4"/>
        <v>83.887377359024526</v>
      </c>
      <c r="F147" s="9">
        <v>78.611000000000004</v>
      </c>
      <c r="G147" s="20">
        <v>0</v>
      </c>
      <c r="H147">
        <f t="shared" si="5"/>
        <v>0</v>
      </c>
      <c r="I147" s="5">
        <v>125</v>
      </c>
      <c r="J147" s="5">
        <v>76.317089999999993</v>
      </c>
      <c r="K147" s="5">
        <v>96.089380000000006</v>
      </c>
      <c r="L147" s="5">
        <v>30.743189999999998</v>
      </c>
      <c r="M147" s="5">
        <v>74.574730000000002</v>
      </c>
      <c r="N147">
        <v>87.28846738758385</v>
      </c>
    </row>
    <row r="148" spans="1:14" x14ac:dyDescent="0.2">
      <c r="A148" s="4">
        <v>35125</v>
      </c>
      <c r="B148" s="5">
        <v>133.33332999999999</v>
      </c>
      <c r="C148" s="9">
        <v>83.316499999999991</v>
      </c>
      <c r="D148">
        <v>5.1340312973290905</v>
      </c>
      <c r="E148">
        <f t="shared" si="4"/>
        <v>98.886792106426967</v>
      </c>
      <c r="F148" s="9">
        <v>78.882000000000005</v>
      </c>
      <c r="G148" s="20">
        <v>3.6445896749462373E-2</v>
      </c>
      <c r="H148">
        <f t="shared" si="5"/>
        <v>-140.91101319949618</v>
      </c>
      <c r="I148" s="5">
        <v>125</v>
      </c>
      <c r="J148" s="5">
        <v>76.563270000000003</v>
      </c>
      <c r="K148" s="5">
        <v>114.12627999999999</v>
      </c>
      <c r="L148" s="5">
        <v>34.434950000000001</v>
      </c>
      <c r="M148" s="5">
        <v>74.787360000000007</v>
      </c>
      <c r="N148">
        <v>87.769176179290653</v>
      </c>
    </row>
    <row r="149" spans="1:14" x14ac:dyDescent="0.2">
      <c r="A149" s="4">
        <v>35156</v>
      </c>
      <c r="B149" s="5">
        <v>136.27450999999999</v>
      </c>
      <c r="C149" s="9">
        <v>84.700999999999993</v>
      </c>
      <c r="D149">
        <v>5.5339623382798013</v>
      </c>
      <c r="E149">
        <f t="shared" si="4"/>
        <v>106.58988065673911</v>
      </c>
      <c r="F149" s="9">
        <v>79.338999999999999</v>
      </c>
      <c r="G149" s="20">
        <v>0</v>
      </c>
      <c r="H149">
        <f t="shared" si="5"/>
        <v>0</v>
      </c>
      <c r="I149" s="5">
        <v>127.27273</v>
      </c>
      <c r="J149" s="5">
        <v>76.858689999999996</v>
      </c>
      <c r="K149" s="5">
        <v>114.95954</v>
      </c>
      <c r="L149" s="5">
        <v>37.99774</v>
      </c>
      <c r="M149" s="5">
        <v>74.949370000000002</v>
      </c>
      <c r="N149">
        <v>87.874203947891445</v>
      </c>
    </row>
    <row r="150" spans="1:14" x14ac:dyDescent="0.2">
      <c r="A150" s="4">
        <v>35186</v>
      </c>
      <c r="B150" s="5">
        <v>139.21569</v>
      </c>
      <c r="C150" s="9">
        <v>83.871000000000009</v>
      </c>
      <c r="D150">
        <v>5.5327582061328258</v>
      </c>
      <c r="E150">
        <f t="shared" si="4"/>
        <v>106.56668781696257</v>
      </c>
      <c r="F150" s="9">
        <v>79.478999999999999</v>
      </c>
      <c r="G150" s="20">
        <v>2.3306579160082126E-2</v>
      </c>
      <c r="H150">
        <f t="shared" si="5"/>
        <v>-90.110382143632705</v>
      </c>
      <c r="I150" s="5">
        <v>127.27273</v>
      </c>
      <c r="J150" s="5">
        <v>77.006399999999999</v>
      </c>
      <c r="K150" s="5">
        <v>107.78719</v>
      </c>
      <c r="L150" s="5">
        <v>34.257620000000003</v>
      </c>
      <c r="M150" s="5">
        <v>75.202510000000004</v>
      </c>
      <c r="N150">
        <v>87.814683150075567</v>
      </c>
    </row>
    <row r="151" spans="1:14" x14ac:dyDescent="0.2">
      <c r="A151" s="4">
        <v>35217</v>
      </c>
      <c r="B151" s="5">
        <v>141.17646999999999</v>
      </c>
      <c r="C151" s="9">
        <v>84.093500000000006</v>
      </c>
      <c r="D151">
        <v>5.8324619983144279</v>
      </c>
      <c r="E151">
        <f t="shared" si="4"/>
        <v>112.33929512584049</v>
      </c>
      <c r="F151" s="9">
        <v>79.769000000000005</v>
      </c>
      <c r="G151" s="20">
        <v>0</v>
      </c>
      <c r="H151">
        <f t="shared" si="5"/>
        <v>0</v>
      </c>
      <c r="I151" s="5">
        <v>120.45455</v>
      </c>
      <c r="J151" s="5">
        <v>77.154110000000003</v>
      </c>
      <c r="K151" s="5">
        <v>92.137429999999995</v>
      </c>
      <c r="L151" s="5">
        <v>32.967919999999999</v>
      </c>
      <c r="M151" s="5">
        <v>75.556910000000002</v>
      </c>
      <c r="N151">
        <v>87.659811004211548</v>
      </c>
    </row>
    <row r="152" spans="1:14" x14ac:dyDescent="0.2">
      <c r="A152" s="4">
        <v>35247</v>
      </c>
      <c r="B152" s="5">
        <v>140.19607999999999</v>
      </c>
      <c r="C152" s="9">
        <v>84.930999999999997</v>
      </c>
      <c r="D152">
        <v>5.8017232894929398</v>
      </c>
      <c r="E152">
        <f t="shared" si="4"/>
        <v>111.74723556624416</v>
      </c>
      <c r="F152" s="9">
        <v>79.671999999999997</v>
      </c>
      <c r="G152" s="20">
        <v>-2.16758584437746E-2</v>
      </c>
      <c r="H152">
        <f t="shared" si="5"/>
        <v>83.805515783506962</v>
      </c>
      <c r="I152" s="5">
        <v>125</v>
      </c>
      <c r="J152" s="5">
        <v>77.301820000000006</v>
      </c>
      <c r="K152" s="5">
        <v>117.27455</v>
      </c>
      <c r="L152" s="5">
        <v>34.370469999999997</v>
      </c>
      <c r="M152" s="5">
        <v>75.729039999999998</v>
      </c>
      <c r="N152">
        <v>89.22757286579278</v>
      </c>
    </row>
    <row r="153" spans="1:14" x14ac:dyDescent="0.2">
      <c r="A153" s="4">
        <v>35278</v>
      </c>
      <c r="B153" s="5">
        <v>136.27450999999999</v>
      </c>
      <c r="C153" s="9">
        <v>84.780500000000004</v>
      </c>
      <c r="D153">
        <v>5.5547741026944877</v>
      </c>
      <c r="E153">
        <f t="shared" si="4"/>
        <v>106.99073692384322</v>
      </c>
      <c r="F153" s="9">
        <v>79.603999999999999</v>
      </c>
      <c r="G153" s="20">
        <v>1.1613667385515244E-2</v>
      </c>
      <c r="H153">
        <f t="shared" si="5"/>
        <v>-44.901999517381547</v>
      </c>
      <c r="I153" s="5">
        <v>115.90909000000001</v>
      </c>
      <c r="J153" s="5">
        <v>77.400300000000001</v>
      </c>
      <c r="K153" s="5">
        <v>85.175610000000006</v>
      </c>
      <c r="L153" s="5">
        <v>35.40222</v>
      </c>
      <c r="M153" s="5">
        <v>76.063180000000003</v>
      </c>
      <c r="N153">
        <v>89.722959120097528</v>
      </c>
    </row>
    <row r="154" spans="1:14" x14ac:dyDescent="0.2">
      <c r="A154" s="4">
        <v>35309</v>
      </c>
      <c r="B154" s="5">
        <v>130.39215999999999</v>
      </c>
      <c r="C154" s="9">
        <v>85.378500000000003</v>
      </c>
      <c r="D154">
        <v>5.7800557208671659</v>
      </c>
      <c r="E154">
        <f t="shared" si="4"/>
        <v>111.3298956183433</v>
      </c>
      <c r="F154" s="9">
        <v>79.897999999999996</v>
      </c>
      <c r="G154" s="20">
        <v>-7.5588645709337723E-2</v>
      </c>
      <c r="H154">
        <f t="shared" si="5"/>
        <v>292.2488840513343</v>
      </c>
      <c r="I154" s="5">
        <v>118.18182</v>
      </c>
      <c r="J154" s="5">
        <v>77.646479999999997</v>
      </c>
      <c r="K154" s="5">
        <v>114.84632000000001</v>
      </c>
      <c r="L154" s="5">
        <v>38.67483</v>
      </c>
      <c r="M154" s="5">
        <v>76.235320000000002</v>
      </c>
      <c r="N154">
        <v>88.924997802859423</v>
      </c>
    </row>
    <row r="155" spans="1:14" x14ac:dyDescent="0.2">
      <c r="A155" s="4">
        <v>35339</v>
      </c>
      <c r="B155" s="5">
        <v>124.5098</v>
      </c>
      <c r="C155" s="9">
        <v>86.710499999999996</v>
      </c>
      <c r="D155">
        <v>5.4519031001743068</v>
      </c>
      <c r="E155">
        <f t="shared" si="4"/>
        <v>105.0093342305474</v>
      </c>
      <c r="F155" s="9">
        <v>80.393000000000001</v>
      </c>
      <c r="G155" s="20">
        <v>0</v>
      </c>
      <c r="H155">
        <f t="shared" si="5"/>
        <v>0</v>
      </c>
      <c r="I155" s="5">
        <v>118.18182</v>
      </c>
      <c r="J155" s="5">
        <v>77.892660000000006</v>
      </c>
      <c r="K155" s="5">
        <v>105.73959000000001</v>
      </c>
      <c r="L155" s="5">
        <v>40.141869999999997</v>
      </c>
      <c r="M155" s="5">
        <v>76.47833</v>
      </c>
      <c r="N155">
        <v>88.495029366415736</v>
      </c>
    </row>
    <row r="156" spans="1:14" x14ac:dyDescent="0.2">
      <c r="A156" s="4">
        <v>35370</v>
      </c>
      <c r="B156" s="5">
        <v>119.60784</v>
      </c>
      <c r="C156" s="9">
        <v>86.540500000000009</v>
      </c>
      <c r="D156">
        <v>5.3653714063196585</v>
      </c>
      <c r="E156">
        <f t="shared" si="4"/>
        <v>103.34264364662495</v>
      </c>
      <c r="F156" s="9">
        <v>80.742000000000004</v>
      </c>
      <c r="G156" s="20">
        <v>-1.0523236075011041E-2</v>
      </c>
      <c r="H156">
        <f t="shared" si="5"/>
        <v>40.686057683274576</v>
      </c>
      <c r="I156" s="5">
        <v>122.72727</v>
      </c>
      <c r="J156" s="5">
        <v>78.138850000000005</v>
      </c>
      <c r="K156" s="5">
        <v>128.28745000000001</v>
      </c>
      <c r="L156" s="5">
        <v>38.223439999999997</v>
      </c>
      <c r="M156" s="5">
        <v>76.640339999999995</v>
      </c>
      <c r="N156">
        <v>88.472881516754995</v>
      </c>
    </row>
    <row r="157" spans="1:14" x14ac:dyDescent="0.2">
      <c r="A157" s="4">
        <v>35400</v>
      </c>
      <c r="B157" s="5">
        <v>118.62745</v>
      </c>
      <c r="C157" s="9">
        <v>86.611500000000007</v>
      </c>
      <c r="D157">
        <v>5.3258219881119828</v>
      </c>
      <c r="E157">
        <f t="shared" si="4"/>
        <v>102.58088064407622</v>
      </c>
      <c r="F157" s="9">
        <v>81.061999999999998</v>
      </c>
      <c r="G157" s="20">
        <v>8.6035197814954712E-3</v>
      </c>
      <c r="H157">
        <f t="shared" si="5"/>
        <v>-33.263845799330447</v>
      </c>
      <c r="I157" s="5">
        <v>122.72727</v>
      </c>
      <c r="J157" s="5">
        <v>78.335800000000006</v>
      </c>
      <c r="K157" s="5">
        <v>80.726609999999994</v>
      </c>
      <c r="L157" s="5">
        <v>40.931809999999999</v>
      </c>
      <c r="M157" s="5">
        <v>76.852980000000002</v>
      </c>
      <c r="N157">
        <v>90.152402329307961</v>
      </c>
    </row>
    <row r="158" spans="1:14" x14ac:dyDescent="0.2">
      <c r="A158" s="4">
        <v>35431</v>
      </c>
      <c r="B158" s="5">
        <v>119.60784</v>
      </c>
      <c r="C158" s="9">
        <v>86.628999999999991</v>
      </c>
      <c r="D158">
        <v>5.4645475819258191</v>
      </c>
      <c r="E158">
        <f t="shared" si="4"/>
        <v>105.25288012379231</v>
      </c>
      <c r="F158" s="9">
        <v>81.085999999999999</v>
      </c>
      <c r="G158" s="20">
        <v>0</v>
      </c>
      <c r="H158">
        <f t="shared" si="5"/>
        <v>0</v>
      </c>
      <c r="I158" s="5">
        <v>120.45455</v>
      </c>
      <c r="J158" s="5">
        <v>78.483509999999995</v>
      </c>
      <c r="K158" s="5">
        <v>111.03017</v>
      </c>
      <c r="L158" s="5">
        <v>40.57714</v>
      </c>
      <c r="M158" s="5">
        <v>77.126369999999994</v>
      </c>
      <c r="N158">
        <v>89.614523725765807</v>
      </c>
    </row>
    <row r="159" spans="1:14" x14ac:dyDescent="0.2">
      <c r="A159" s="4">
        <v>35462</v>
      </c>
      <c r="B159" s="5">
        <v>123.52941</v>
      </c>
      <c r="C159" s="9">
        <v>86.647499999999994</v>
      </c>
      <c r="D159">
        <v>5.386162679327291</v>
      </c>
      <c r="E159">
        <f t="shared" si="4"/>
        <v>103.7431052278785</v>
      </c>
      <c r="F159" s="9">
        <v>81.072000000000003</v>
      </c>
      <c r="G159" s="20">
        <v>1.4973730224571678E-2</v>
      </c>
      <c r="H159">
        <f t="shared" si="5"/>
        <v>-57.893032837817046</v>
      </c>
      <c r="I159" s="5">
        <v>118.18182</v>
      </c>
      <c r="J159" s="5">
        <v>78.631219999999999</v>
      </c>
      <c r="K159" s="5">
        <v>85.962559999999996</v>
      </c>
      <c r="L159" s="5">
        <v>35.805259999999997</v>
      </c>
      <c r="M159" s="5">
        <v>77.389629999999997</v>
      </c>
      <c r="N159">
        <v>89.670189338502041</v>
      </c>
    </row>
    <row r="160" spans="1:14" x14ac:dyDescent="0.2">
      <c r="A160" s="4">
        <v>35490</v>
      </c>
      <c r="B160" s="5">
        <v>128.43136999999999</v>
      </c>
      <c r="C160" s="9">
        <v>86.236000000000004</v>
      </c>
      <c r="D160">
        <v>5.7120482791308955</v>
      </c>
      <c r="E160">
        <f t="shared" si="4"/>
        <v>110.02000143126207</v>
      </c>
      <c r="F160" s="9">
        <v>81.114999999999995</v>
      </c>
      <c r="G160" s="20">
        <v>7.571842790910846E-2</v>
      </c>
      <c r="H160">
        <f t="shared" si="5"/>
        <v>-292.75066183418505</v>
      </c>
      <c r="I160" s="5">
        <v>118.18182</v>
      </c>
      <c r="J160" s="5">
        <v>78.680449999999993</v>
      </c>
      <c r="K160" s="5">
        <v>108.35238</v>
      </c>
      <c r="L160" s="5">
        <v>33.838470000000001</v>
      </c>
      <c r="M160" s="5">
        <v>77.652900000000002</v>
      </c>
      <c r="N160">
        <v>89.362332502095072</v>
      </c>
    </row>
    <row r="161" spans="1:14" x14ac:dyDescent="0.2">
      <c r="A161" s="4">
        <v>35521</v>
      </c>
      <c r="B161" s="5">
        <v>133.33332999999999</v>
      </c>
      <c r="C161" s="9">
        <v>86.65</v>
      </c>
      <c r="D161">
        <v>5.9827077249765228</v>
      </c>
      <c r="E161">
        <f t="shared" si="4"/>
        <v>115.23318436742788</v>
      </c>
      <c r="F161" s="9">
        <v>81.073999999999998</v>
      </c>
      <c r="G161" s="20">
        <v>0</v>
      </c>
      <c r="H161">
        <f t="shared" si="5"/>
        <v>0</v>
      </c>
      <c r="I161" s="5">
        <v>115.90909000000001</v>
      </c>
      <c r="J161" s="5">
        <v>78.729690000000005</v>
      </c>
      <c r="K161" s="5">
        <v>109.61869</v>
      </c>
      <c r="L161" s="5">
        <v>31.791070000000001</v>
      </c>
      <c r="M161" s="5">
        <v>77.956659999999999</v>
      </c>
      <c r="N161">
        <v>89.963205484010615</v>
      </c>
    </row>
    <row r="162" spans="1:14" x14ac:dyDescent="0.2">
      <c r="A162" s="4">
        <v>35551</v>
      </c>
      <c r="B162" s="5">
        <v>135.29411999999999</v>
      </c>
      <c r="C162" s="9">
        <v>86.532000000000011</v>
      </c>
      <c r="D162">
        <v>5.8249488034775228</v>
      </c>
      <c r="E162">
        <f t="shared" si="4"/>
        <v>112.19458316503133</v>
      </c>
      <c r="F162" s="9">
        <v>80.775999999999996</v>
      </c>
      <c r="G162" s="20">
        <v>-5.3375580684173023E-2</v>
      </c>
      <c r="H162">
        <f t="shared" si="5"/>
        <v>206.36636288635776</v>
      </c>
      <c r="I162" s="5">
        <v>111.36364</v>
      </c>
      <c r="J162" s="5">
        <v>78.729690000000005</v>
      </c>
      <c r="K162" s="5">
        <v>96.702569999999994</v>
      </c>
      <c r="L162" s="5">
        <v>33.580530000000003</v>
      </c>
      <c r="M162" s="5">
        <v>78.27055</v>
      </c>
      <c r="N162">
        <v>90.639750532173665</v>
      </c>
    </row>
    <row r="163" spans="1:14" x14ac:dyDescent="0.2">
      <c r="A163" s="4">
        <v>35582</v>
      </c>
      <c r="B163" s="5">
        <v>136.27450999999999</v>
      </c>
      <c r="C163" s="9">
        <v>86.753</v>
      </c>
      <c r="D163">
        <v>5.6578367935600049</v>
      </c>
      <c r="E163">
        <f t="shared" si="4"/>
        <v>108.97583173439673</v>
      </c>
      <c r="F163" s="9">
        <v>81.088999999999999</v>
      </c>
      <c r="G163" s="20">
        <v>0</v>
      </c>
      <c r="H163">
        <f t="shared" si="5"/>
        <v>0</v>
      </c>
      <c r="I163" s="5">
        <v>113.63636</v>
      </c>
      <c r="J163" s="5">
        <v>78.877399999999994</v>
      </c>
      <c r="K163" s="5">
        <v>91.669049999999999</v>
      </c>
      <c r="L163" s="5">
        <v>30.904399999999999</v>
      </c>
      <c r="M163" s="5">
        <v>78.483189999999993</v>
      </c>
      <c r="N163">
        <v>91.512446922843381</v>
      </c>
    </row>
    <row r="164" spans="1:14" x14ac:dyDescent="0.2">
      <c r="A164" s="4">
        <v>35612</v>
      </c>
      <c r="B164" s="5">
        <v>135.29411999999999</v>
      </c>
      <c r="C164" s="9">
        <v>86.789500000000004</v>
      </c>
      <c r="D164">
        <v>5.5960017640486548</v>
      </c>
      <c r="E164">
        <f t="shared" si="4"/>
        <v>107.78482463801133</v>
      </c>
      <c r="F164" s="9">
        <v>80.924999999999997</v>
      </c>
      <c r="G164" s="20">
        <v>8.2985962310172384E-3</v>
      </c>
      <c r="H164">
        <f t="shared" si="5"/>
        <v>-32.084917846435189</v>
      </c>
      <c r="I164" s="5">
        <v>111.36364</v>
      </c>
      <c r="J164" s="5">
        <v>78.97587</v>
      </c>
      <c r="K164" s="5">
        <v>74.340180000000004</v>
      </c>
      <c r="L164" s="5">
        <v>31.645980000000002</v>
      </c>
      <c r="M164" s="5">
        <v>78.776830000000004</v>
      </c>
      <c r="N164">
        <v>91.690190529274247</v>
      </c>
    </row>
    <row r="165" spans="1:14" x14ac:dyDescent="0.2">
      <c r="A165" s="4">
        <v>35643</v>
      </c>
      <c r="B165" s="5">
        <v>133.33332999999999</v>
      </c>
      <c r="C165" s="9">
        <v>86.581000000000003</v>
      </c>
      <c r="D165">
        <v>5.5346366871001837</v>
      </c>
      <c r="E165">
        <f t="shared" si="4"/>
        <v>106.60286931764638</v>
      </c>
      <c r="F165" s="9">
        <v>80.814999999999998</v>
      </c>
      <c r="G165" s="20">
        <v>1.2716794665181825E-2</v>
      </c>
      <c r="H165">
        <f t="shared" si="5"/>
        <v>-49.16702786156997</v>
      </c>
      <c r="I165" s="5">
        <v>109.09090999999999</v>
      </c>
      <c r="J165" s="5">
        <v>79.172820000000002</v>
      </c>
      <c r="K165" s="5">
        <v>84.959789999999998</v>
      </c>
      <c r="L165" s="5">
        <v>32.12961</v>
      </c>
      <c r="M165" s="5">
        <v>78.938839999999999</v>
      </c>
      <c r="N165">
        <v>91.734399561552877</v>
      </c>
    </row>
    <row r="166" spans="1:14" x14ac:dyDescent="0.2">
      <c r="A166" s="4">
        <v>35674</v>
      </c>
      <c r="B166" s="5">
        <v>133.33332999999999</v>
      </c>
      <c r="C166" s="9">
        <v>87.221000000000004</v>
      </c>
      <c r="D166">
        <v>5.5276233593111765</v>
      </c>
      <c r="E166">
        <f t="shared" si="4"/>
        <v>106.46778531700802</v>
      </c>
      <c r="F166" s="9">
        <v>81.283000000000001</v>
      </c>
      <c r="G166" s="20">
        <v>4.1827774868195798E-3</v>
      </c>
      <c r="H166">
        <f t="shared" si="5"/>
        <v>-16.171900439367946</v>
      </c>
      <c r="I166" s="5">
        <v>111.36364</v>
      </c>
      <c r="J166" s="5">
        <v>79.369770000000003</v>
      </c>
      <c r="K166" s="5">
        <v>92.898690000000002</v>
      </c>
      <c r="L166" s="5">
        <v>31.903919999999999</v>
      </c>
      <c r="M166" s="5">
        <v>79.232479999999995</v>
      </c>
      <c r="N166">
        <v>91.416736605175345</v>
      </c>
    </row>
    <row r="167" spans="1:14" x14ac:dyDescent="0.2">
      <c r="A167" s="4">
        <v>35704</v>
      </c>
      <c r="B167" s="5">
        <v>133.33332999999999</v>
      </c>
      <c r="C167" s="9">
        <v>87.195999999999998</v>
      </c>
      <c r="D167">
        <v>5.4927476739239642</v>
      </c>
      <c r="E167">
        <f t="shared" si="4"/>
        <v>105.79604327830081</v>
      </c>
      <c r="F167" s="9">
        <v>81.477000000000004</v>
      </c>
      <c r="G167" s="20">
        <v>0</v>
      </c>
      <c r="H167">
        <f t="shared" si="5"/>
        <v>0</v>
      </c>
      <c r="I167" s="5">
        <v>106.81818</v>
      </c>
      <c r="J167" s="5">
        <v>79.517480000000006</v>
      </c>
      <c r="K167" s="5">
        <v>91.047610000000006</v>
      </c>
      <c r="L167" s="5">
        <v>34.273739999999997</v>
      </c>
      <c r="M167" s="5">
        <v>79.596999999999994</v>
      </c>
      <c r="N167">
        <v>91.482385818757066</v>
      </c>
    </row>
    <row r="168" spans="1:14" x14ac:dyDescent="0.2">
      <c r="A168" s="4">
        <v>35735</v>
      </c>
      <c r="B168" s="5">
        <v>134.31372999999999</v>
      </c>
      <c r="C168" s="9">
        <v>87.062000000000012</v>
      </c>
      <c r="D168">
        <v>5.5578280682421015</v>
      </c>
      <c r="E168">
        <f t="shared" si="4"/>
        <v>107.04955948231967</v>
      </c>
      <c r="F168" s="9">
        <v>81.558999999999997</v>
      </c>
      <c r="G168" s="20">
        <v>-2.1215392759883232E-2</v>
      </c>
      <c r="H168">
        <f t="shared" si="5"/>
        <v>82.025214244851881</v>
      </c>
      <c r="I168" s="5">
        <v>104.54545</v>
      </c>
      <c r="J168" s="5">
        <v>79.615949999999998</v>
      </c>
      <c r="K168" s="5">
        <v>99.354740000000007</v>
      </c>
      <c r="L168" s="5">
        <v>32.51652</v>
      </c>
      <c r="M168" s="5">
        <v>79.87039</v>
      </c>
      <c r="N168">
        <v>91.918026872722734</v>
      </c>
    </row>
    <row r="169" spans="1:14" x14ac:dyDescent="0.2">
      <c r="A169" s="4">
        <v>35765</v>
      </c>
      <c r="B169" s="5">
        <v>136.27450999999999</v>
      </c>
      <c r="C169" s="9">
        <v>86.909500000000008</v>
      </c>
      <c r="D169">
        <v>5.6194008884813753</v>
      </c>
      <c r="E169">
        <f t="shared" si="4"/>
        <v>108.23551615492022</v>
      </c>
      <c r="F169" s="9">
        <v>81.361000000000004</v>
      </c>
      <c r="G169" s="20">
        <v>2.3899165788176685E-3</v>
      </c>
      <c r="H169">
        <f t="shared" si="5"/>
        <v>-9.2401503768305293</v>
      </c>
      <c r="I169" s="5">
        <v>106.81818</v>
      </c>
      <c r="J169" s="5">
        <v>79.665189999999996</v>
      </c>
      <c r="K169" s="5">
        <v>112.59152</v>
      </c>
      <c r="L169" s="5">
        <v>29.534099999999999</v>
      </c>
      <c r="M169" s="5">
        <v>80.133660000000006</v>
      </c>
      <c r="N169">
        <v>92.513446177822942</v>
      </c>
    </row>
    <row r="170" spans="1:14" x14ac:dyDescent="0.2">
      <c r="A170" s="4">
        <v>35796</v>
      </c>
      <c r="B170" s="5">
        <v>136.27450999999999</v>
      </c>
      <c r="C170" s="9">
        <v>87.15</v>
      </c>
      <c r="D170">
        <v>5.3344933900904685</v>
      </c>
      <c r="E170">
        <f t="shared" si="4"/>
        <v>102.7479008812072</v>
      </c>
      <c r="F170" s="9">
        <v>81.677000000000007</v>
      </c>
      <c r="G170" s="20">
        <v>0</v>
      </c>
      <c r="H170">
        <f t="shared" si="5"/>
        <v>0</v>
      </c>
      <c r="I170" s="5">
        <v>104.54545</v>
      </c>
      <c r="J170" s="5">
        <v>79.763660000000002</v>
      </c>
      <c r="K170" s="5">
        <v>88.855310000000003</v>
      </c>
      <c r="L170" s="5">
        <v>26.938580000000002</v>
      </c>
      <c r="M170" s="5">
        <v>80.437420000000003</v>
      </c>
      <c r="N170">
        <v>92.836796705773949</v>
      </c>
    </row>
    <row r="171" spans="1:14" x14ac:dyDescent="0.2">
      <c r="A171" s="4">
        <v>35827</v>
      </c>
      <c r="B171" s="5">
        <v>136.27450999999999</v>
      </c>
      <c r="C171" s="9">
        <v>87.517500000000013</v>
      </c>
      <c r="D171">
        <v>5.4303437576873863</v>
      </c>
      <c r="E171">
        <f t="shared" si="4"/>
        <v>104.59407883084533</v>
      </c>
      <c r="F171" s="9">
        <v>81.489000000000004</v>
      </c>
      <c r="G171" s="20">
        <v>2.7907089501374421E-2</v>
      </c>
      <c r="H171">
        <f t="shared" si="5"/>
        <v>-107.89736589882924</v>
      </c>
      <c r="I171" s="5">
        <v>104.54545</v>
      </c>
      <c r="J171" s="5">
        <v>79.763660000000002</v>
      </c>
      <c r="K171" s="5">
        <v>105.32386</v>
      </c>
      <c r="L171" s="5">
        <v>25.890699999999999</v>
      </c>
      <c r="M171" s="5">
        <v>80.66019</v>
      </c>
      <c r="N171">
        <v>92.788478711156287</v>
      </c>
    </row>
    <row r="172" spans="1:14" x14ac:dyDescent="0.2">
      <c r="A172" s="4">
        <v>35855</v>
      </c>
      <c r="B172" s="5">
        <v>134.31372999999999</v>
      </c>
      <c r="C172" s="9">
        <v>87.710999999999999</v>
      </c>
      <c r="D172">
        <v>5.6118436113644892</v>
      </c>
      <c r="E172">
        <f t="shared" si="4"/>
        <v>108.0899551234678</v>
      </c>
      <c r="F172" s="9">
        <v>81.287000000000006</v>
      </c>
      <c r="G172" s="20">
        <v>9.4236500248957369E-3</v>
      </c>
      <c r="H172">
        <f t="shared" si="5"/>
        <v>-36.434720818471952</v>
      </c>
      <c r="I172" s="5">
        <v>106.81818</v>
      </c>
      <c r="J172" s="5">
        <v>79.763660000000002</v>
      </c>
      <c r="K172" s="5">
        <v>89.633960000000002</v>
      </c>
      <c r="L172" s="5">
        <v>24.214089999999999</v>
      </c>
      <c r="M172" s="5">
        <v>80.862700000000004</v>
      </c>
      <c r="N172">
        <v>92.739931431382757</v>
      </c>
    </row>
    <row r="173" spans="1:14" x14ac:dyDescent="0.2">
      <c r="A173" s="4">
        <v>35886</v>
      </c>
      <c r="B173" s="5">
        <v>132.35293999999999</v>
      </c>
      <c r="C173" s="9">
        <v>87.854500000000002</v>
      </c>
      <c r="D173">
        <v>5.6402255940028283</v>
      </c>
      <c r="E173">
        <f t="shared" si="4"/>
        <v>108.63662168122443</v>
      </c>
      <c r="F173" s="9">
        <v>80.986000000000004</v>
      </c>
      <c r="G173" s="20">
        <v>0</v>
      </c>
      <c r="H173">
        <f t="shared" si="5"/>
        <v>0</v>
      </c>
      <c r="I173" s="5">
        <v>97.727270000000004</v>
      </c>
      <c r="J173" s="5">
        <v>79.862139999999997</v>
      </c>
      <c r="K173" s="5">
        <v>83.462850000000003</v>
      </c>
      <c r="L173" s="5">
        <v>24.891179999999999</v>
      </c>
      <c r="M173" s="5">
        <v>81.257589999999993</v>
      </c>
      <c r="N173">
        <v>92.608168202941783</v>
      </c>
    </row>
    <row r="174" spans="1:14" x14ac:dyDescent="0.2">
      <c r="A174" s="4">
        <v>35916</v>
      </c>
      <c r="B174" s="5">
        <v>130.39215999999999</v>
      </c>
      <c r="C174" s="9">
        <v>87.247500000000002</v>
      </c>
      <c r="D174">
        <v>5.6768843271023259</v>
      </c>
      <c r="E174">
        <f t="shared" si="4"/>
        <v>109.3427070766876</v>
      </c>
      <c r="F174" s="9">
        <v>81.114999999999995</v>
      </c>
      <c r="G174" s="20">
        <v>-7.7229409313300315E-3</v>
      </c>
      <c r="H174">
        <f t="shared" si="5"/>
        <v>29.85925792948499</v>
      </c>
      <c r="I174" s="5">
        <v>100</v>
      </c>
      <c r="J174" s="5">
        <v>80.059079999999994</v>
      </c>
      <c r="K174" s="5">
        <v>111.45552000000001</v>
      </c>
      <c r="L174" s="5">
        <v>23.956150000000001</v>
      </c>
      <c r="M174" s="5">
        <v>81.490480000000005</v>
      </c>
      <c r="N174">
        <v>92.633651469052353</v>
      </c>
    </row>
    <row r="175" spans="1:14" x14ac:dyDescent="0.2">
      <c r="A175" s="4">
        <v>35947</v>
      </c>
      <c r="B175" s="5">
        <v>129.41175999999999</v>
      </c>
      <c r="C175" s="9">
        <v>87.643500000000003</v>
      </c>
      <c r="D175">
        <v>5.6907406324476675</v>
      </c>
      <c r="E175">
        <f t="shared" si="4"/>
        <v>109.60959395498944</v>
      </c>
      <c r="F175" s="9">
        <v>81.325000000000003</v>
      </c>
      <c r="G175" s="20">
        <v>0</v>
      </c>
      <c r="H175">
        <f t="shared" si="5"/>
        <v>0</v>
      </c>
      <c r="I175" s="5">
        <v>102.27273</v>
      </c>
      <c r="J175" s="5">
        <v>80.157560000000004</v>
      </c>
      <c r="K175" s="5">
        <v>114.61535000000001</v>
      </c>
      <c r="L175" s="5">
        <v>22.021599999999999</v>
      </c>
      <c r="M175" s="5">
        <v>81.723370000000003</v>
      </c>
      <c r="N175">
        <v>92.659621939026877</v>
      </c>
    </row>
    <row r="176" spans="1:14" x14ac:dyDescent="0.2">
      <c r="A176" s="4">
        <v>35977</v>
      </c>
      <c r="B176" s="5">
        <v>129.41175999999999</v>
      </c>
      <c r="C176" s="9">
        <v>87.128</v>
      </c>
      <c r="D176">
        <v>5.5902469301752697</v>
      </c>
      <c r="E176">
        <f t="shared" si="4"/>
        <v>107.67398054145501</v>
      </c>
      <c r="F176" s="9">
        <v>81.126999999999995</v>
      </c>
      <c r="G176" s="20">
        <v>1.2982096108580818E-2</v>
      </c>
      <c r="H176">
        <f t="shared" si="5"/>
        <v>-50.192764598125706</v>
      </c>
      <c r="I176" s="5">
        <v>102.27273</v>
      </c>
      <c r="J176" s="5">
        <v>80.354510000000005</v>
      </c>
      <c r="K176" s="5">
        <v>117.94982</v>
      </c>
      <c r="L176" s="5">
        <v>22.698689999999999</v>
      </c>
      <c r="M176" s="5">
        <v>81.936009999999996</v>
      </c>
      <c r="N176">
        <v>92.963772561897017</v>
      </c>
    </row>
    <row r="177" spans="1:14" x14ac:dyDescent="0.2">
      <c r="A177" s="4">
        <v>36008</v>
      </c>
      <c r="B177" s="5">
        <v>129.41175999999999</v>
      </c>
      <c r="C177" s="9">
        <v>87.267499999999998</v>
      </c>
      <c r="D177">
        <v>5.4211666045724618</v>
      </c>
      <c r="E177">
        <f t="shared" si="4"/>
        <v>104.41731729986741</v>
      </c>
      <c r="F177" s="9">
        <v>81.02</v>
      </c>
      <c r="G177" s="20">
        <v>8.9767118179940025E-3</v>
      </c>
      <c r="H177">
        <f t="shared" si="5"/>
        <v>-34.70672065414567</v>
      </c>
      <c r="I177" s="5">
        <v>102.27273</v>
      </c>
      <c r="J177" s="5">
        <v>80.452979999999997</v>
      </c>
      <c r="K177" s="5">
        <v>123.70993</v>
      </c>
      <c r="L177" s="5">
        <v>21.537970000000001</v>
      </c>
      <c r="M177" s="5">
        <v>82.209400000000002</v>
      </c>
      <c r="N177">
        <v>93.417853731630203</v>
      </c>
    </row>
    <row r="178" spans="1:14" x14ac:dyDescent="0.2">
      <c r="A178" s="4">
        <v>36039</v>
      </c>
      <c r="B178" s="5">
        <v>128.43136999999999</v>
      </c>
      <c r="C178" s="9">
        <v>87.336999999999989</v>
      </c>
      <c r="D178">
        <v>5.013274513546957</v>
      </c>
      <c r="E178">
        <f t="shared" si="4"/>
        <v>96.56089063022894</v>
      </c>
      <c r="F178" s="9">
        <v>80.891000000000005</v>
      </c>
      <c r="G178" s="20">
        <v>3.040001286993738E-2</v>
      </c>
      <c r="H178">
        <f t="shared" si="5"/>
        <v>-117.53577211250237</v>
      </c>
      <c r="I178" s="5">
        <v>104.54545</v>
      </c>
      <c r="J178" s="5">
        <v>80.502219999999994</v>
      </c>
      <c r="K178" s="5">
        <v>116.16898</v>
      </c>
      <c r="L178" s="5">
        <v>24.101240000000001</v>
      </c>
      <c r="M178" s="5">
        <v>82.411910000000006</v>
      </c>
      <c r="N178">
        <v>91.10708906566434</v>
      </c>
    </row>
    <row r="179" spans="1:14" x14ac:dyDescent="0.2">
      <c r="A179" s="4">
        <v>36069</v>
      </c>
      <c r="B179" s="5">
        <v>127.45098</v>
      </c>
      <c r="C179" s="9">
        <v>87.735500000000002</v>
      </c>
      <c r="D179">
        <v>4.4453738230696107</v>
      </c>
      <c r="E179">
        <f t="shared" si="4"/>
        <v>85.622531616807066</v>
      </c>
      <c r="F179" s="9">
        <v>81.066000000000003</v>
      </c>
      <c r="G179" s="20">
        <v>-0.27611948831265581</v>
      </c>
      <c r="H179">
        <f t="shared" si="5"/>
        <v>1067.5626156142455</v>
      </c>
      <c r="I179" s="5">
        <v>102.27273</v>
      </c>
      <c r="J179" s="5">
        <v>80.699160000000006</v>
      </c>
      <c r="K179" s="5">
        <v>122.43474999999999</v>
      </c>
      <c r="L179" s="5">
        <v>23.198450000000001</v>
      </c>
      <c r="M179" s="5">
        <v>82.675169999999994</v>
      </c>
      <c r="N179">
        <v>90.033666396281532</v>
      </c>
    </row>
    <row r="180" spans="1:14" x14ac:dyDescent="0.2">
      <c r="A180" s="4">
        <v>36100</v>
      </c>
      <c r="B180" s="5">
        <v>126.47059</v>
      </c>
      <c r="C180" s="9">
        <v>87.740000000000009</v>
      </c>
      <c r="D180">
        <v>4.9042287377121498</v>
      </c>
      <c r="E180">
        <f t="shared" si="4"/>
        <v>94.46055536918945</v>
      </c>
      <c r="F180" s="9">
        <v>81.010999999999996</v>
      </c>
      <c r="G180" s="20">
        <v>-1.4776375041777978E-2</v>
      </c>
      <c r="H180">
        <f t="shared" si="5"/>
        <v>57.129997180914401</v>
      </c>
      <c r="I180" s="5">
        <v>100</v>
      </c>
      <c r="J180" s="5">
        <v>80.797640000000001</v>
      </c>
      <c r="K180" s="5">
        <v>80.461619999999996</v>
      </c>
      <c r="L180" s="5">
        <v>20.715779999999999</v>
      </c>
      <c r="M180" s="5">
        <v>82.958690000000004</v>
      </c>
      <c r="N180">
        <v>89.459106902106996</v>
      </c>
    </row>
    <row r="181" spans="1:14" x14ac:dyDescent="0.2">
      <c r="A181" s="4">
        <v>36130</v>
      </c>
      <c r="B181" s="5">
        <v>125.4902</v>
      </c>
      <c r="C181" s="9">
        <v>88.209000000000003</v>
      </c>
      <c r="D181">
        <v>5.0503631235554165</v>
      </c>
      <c r="E181">
        <f t="shared" si="4"/>
        <v>97.275255902861943</v>
      </c>
      <c r="F181" s="9">
        <v>81.210999999999999</v>
      </c>
      <c r="G181" s="20">
        <v>1.0430525112193712E-2</v>
      </c>
      <c r="H181">
        <f t="shared" si="5"/>
        <v>-40.327608670616286</v>
      </c>
      <c r="I181" s="5">
        <v>100</v>
      </c>
      <c r="J181" s="5">
        <v>80.945350000000005</v>
      </c>
      <c r="K181" s="5">
        <v>73.147480000000002</v>
      </c>
      <c r="L181" s="5">
        <v>18.184750000000001</v>
      </c>
      <c r="M181" s="5">
        <v>83.252330000000001</v>
      </c>
      <c r="N181">
        <v>92.428825152429084</v>
      </c>
    </row>
    <row r="182" spans="1:14" x14ac:dyDescent="0.2">
      <c r="A182" s="4">
        <v>36161</v>
      </c>
      <c r="B182" s="5">
        <v>123.52941</v>
      </c>
      <c r="C182" s="9">
        <v>88.066000000000003</v>
      </c>
      <c r="D182">
        <v>5.1874935888023153</v>
      </c>
      <c r="E182">
        <f t="shared" si="4"/>
        <v>99.916531544360723</v>
      </c>
      <c r="F182" s="9">
        <v>81.069999999999993</v>
      </c>
      <c r="G182" s="20">
        <v>0</v>
      </c>
      <c r="H182">
        <f t="shared" si="5"/>
        <v>0</v>
      </c>
      <c r="I182" s="5">
        <v>97.727270000000004</v>
      </c>
      <c r="J182" s="5">
        <v>81.093059999999994</v>
      </c>
      <c r="K182" s="5">
        <v>56.838949999999997</v>
      </c>
      <c r="L182" s="5">
        <v>20.103179999999998</v>
      </c>
      <c r="M182" s="5">
        <v>83.495339999999999</v>
      </c>
      <c r="N182">
        <v>93.968404240063592</v>
      </c>
    </row>
    <row r="183" spans="1:14" x14ac:dyDescent="0.2">
      <c r="A183" s="4">
        <v>36192</v>
      </c>
      <c r="B183" s="5">
        <v>120.58824</v>
      </c>
      <c r="C183" s="9">
        <v>88.823000000000008</v>
      </c>
      <c r="D183">
        <v>5.2238139675402158</v>
      </c>
      <c r="E183">
        <f t="shared" si="4"/>
        <v>100.61609988227677</v>
      </c>
      <c r="F183" s="9">
        <v>80.978999999999999</v>
      </c>
      <c r="G183" s="20">
        <v>1.1456256535215781E-2</v>
      </c>
      <c r="H183">
        <f t="shared" si="5"/>
        <v>-44.29340089908527</v>
      </c>
      <c r="I183" s="5">
        <v>100</v>
      </c>
      <c r="J183" s="5">
        <v>81.093059999999994</v>
      </c>
      <c r="K183" s="5">
        <v>63.855469999999997</v>
      </c>
      <c r="L183" s="5">
        <v>19.361599999999999</v>
      </c>
      <c r="M183" s="5">
        <v>83.758610000000004</v>
      </c>
      <c r="N183">
        <v>94.721420260080578</v>
      </c>
    </row>
    <row r="184" spans="1:14" x14ac:dyDescent="0.2">
      <c r="A184" s="4">
        <v>36220</v>
      </c>
      <c r="B184" s="5">
        <v>117.64706</v>
      </c>
      <c r="C184" s="9">
        <v>88.333500000000001</v>
      </c>
      <c r="D184">
        <v>5.3375901158741268</v>
      </c>
      <c r="E184">
        <f t="shared" si="4"/>
        <v>102.80754704638319</v>
      </c>
      <c r="F184" s="9">
        <v>80.933999999999997</v>
      </c>
      <c r="G184" s="20">
        <v>-1.7191131774199959E-2</v>
      </c>
      <c r="H184">
        <f t="shared" si="5"/>
        <v>66.466187208970311</v>
      </c>
      <c r="I184" s="5">
        <v>95.454549999999998</v>
      </c>
      <c r="J184" s="5">
        <v>81.142290000000003</v>
      </c>
      <c r="K184" s="5">
        <v>67.605549999999994</v>
      </c>
      <c r="L184" s="5">
        <v>23.63373</v>
      </c>
      <c r="M184" s="5">
        <v>84.052250000000001</v>
      </c>
      <c r="N184">
        <v>94.530329711684303</v>
      </c>
    </row>
    <row r="185" spans="1:14" x14ac:dyDescent="0.2">
      <c r="A185" s="4">
        <v>36251</v>
      </c>
      <c r="B185" s="5">
        <v>113.72548999999999</v>
      </c>
      <c r="C185" s="9">
        <v>88.122500000000002</v>
      </c>
      <c r="D185">
        <v>5.1822914176891617</v>
      </c>
      <c r="E185">
        <f t="shared" si="4"/>
        <v>99.816332308404355</v>
      </c>
      <c r="F185" s="9">
        <v>81.233000000000004</v>
      </c>
      <c r="G185" s="20">
        <v>0</v>
      </c>
      <c r="H185">
        <f t="shared" si="5"/>
        <v>0</v>
      </c>
      <c r="I185" s="5">
        <v>97.727270000000004</v>
      </c>
      <c r="J185" s="5">
        <v>81.683899999999994</v>
      </c>
      <c r="K185" s="5">
        <v>98.181790000000007</v>
      </c>
      <c r="L185" s="5">
        <v>27.954219999999999</v>
      </c>
      <c r="M185" s="5">
        <v>84.295259999999999</v>
      </c>
      <c r="N185">
        <v>94.837653109197944</v>
      </c>
    </row>
    <row r="186" spans="1:14" x14ac:dyDescent="0.2">
      <c r="A186" s="4">
        <v>36281</v>
      </c>
      <c r="B186" s="5">
        <v>110.78431</v>
      </c>
      <c r="C186" s="9">
        <v>88.79849999999999</v>
      </c>
      <c r="D186">
        <v>5.2663875275402141</v>
      </c>
      <c r="E186">
        <f t="shared" si="4"/>
        <v>101.43611100670067</v>
      </c>
      <c r="F186" s="9">
        <v>81.561999999999998</v>
      </c>
      <c r="G186" s="20">
        <v>0.12434201595265687</v>
      </c>
      <c r="H186">
        <f t="shared" si="5"/>
        <v>-480.74436394311687</v>
      </c>
      <c r="I186" s="5">
        <v>95.454549999999998</v>
      </c>
      <c r="J186" s="5">
        <v>81.733140000000006</v>
      </c>
      <c r="K186" s="5">
        <v>62.929670000000002</v>
      </c>
      <c r="L186" s="5">
        <v>28.615189999999998</v>
      </c>
      <c r="M186" s="5">
        <v>84.588899999999995</v>
      </c>
      <c r="N186">
        <v>95.329107781953525</v>
      </c>
    </row>
    <row r="187" spans="1:14" x14ac:dyDescent="0.2">
      <c r="A187" s="4">
        <v>36312</v>
      </c>
      <c r="B187" s="5">
        <v>109.80392000000001</v>
      </c>
      <c r="C187" s="9">
        <v>89.025000000000006</v>
      </c>
      <c r="D187">
        <v>5.6586695458168528</v>
      </c>
      <c r="E187">
        <f t="shared" si="4"/>
        <v>108.99187141053621</v>
      </c>
      <c r="F187" s="9">
        <v>81.777000000000001</v>
      </c>
      <c r="G187" s="20">
        <v>-0.10066357485884696</v>
      </c>
      <c r="H187">
        <f t="shared" si="5"/>
        <v>389.1962495298651</v>
      </c>
      <c r="I187" s="5">
        <v>97.727270000000004</v>
      </c>
      <c r="J187" s="5">
        <v>81.733140000000006</v>
      </c>
      <c r="K187" s="5">
        <v>43.398440000000001</v>
      </c>
      <c r="L187" s="5">
        <v>28.840879999999999</v>
      </c>
      <c r="M187" s="5">
        <v>84.801540000000003</v>
      </c>
      <c r="N187">
        <v>96.076393267407397</v>
      </c>
    </row>
    <row r="188" spans="1:14" x14ac:dyDescent="0.2">
      <c r="A188" s="4">
        <v>36342</v>
      </c>
      <c r="B188" s="5">
        <v>109.80392000000001</v>
      </c>
      <c r="C188" s="9">
        <v>88.900499999999994</v>
      </c>
      <c r="D188">
        <v>5.7545155412440199</v>
      </c>
      <c r="E188">
        <f t="shared" si="4"/>
        <v>110.83796514762942</v>
      </c>
      <c r="F188" s="9">
        <v>81.81</v>
      </c>
      <c r="G188" s="20">
        <v>0</v>
      </c>
      <c r="H188">
        <f t="shared" si="5"/>
        <v>0</v>
      </c>
      <c r="I188" s="5">
        <v>97.727270000000004</v>
      </c>
      <c r="J188" s="5">
        <v>82.077789999999993</v>
      </c>
      <c r="K188" s="5">
        <v>87.824839999999995</v>
      </c>
      <c r="L188" s="5">
        <v>32.355310000000003</v>
      </c>
      <c r="M188" s="5">
        <v>85.085049999999995</v>
      </c>
      <c r="N188">
        <v>96.141675979771179</v>
      </c>
    </row>
    <row r="189" spans="1:14" x14ac:dyDescent="0.2">
      <c r="A189" s="4">
        <v>36373</v>
      </c>
      <c r="B189" s="5">
        <v>111.76470999999999</v>
      </c>
      <c r="C189" s="9">
        <v>89.006</v>
      </c>
      <c r="D189">
        <v>5.9750381007690345</v>
      </c>
      <c r="E189">
        <f t="shared" si="4"/>
        <v>115.08545941395228</v>
      </c>
      <c r="F189" s="9">
        <v>82.090999999999994</v>
      </c>
      <c r="G189" s="20">
        <v>6.8972245468568311E-3</v>
      </c>
      <c r="H189">
        <f t="shared" si="5"/>
        <v>-26.666785175929824</v>
      </c>
      <c r="I189" s="5">
        <v>95.454549999999998</v>
      </c>
      <c r="J189" s="5">
        <v>82.274739999999994</v>
      </c>
      <c r="K189" s="5">
        <v>86.646199999999993</v>
      </c>
      <c r="L189" s="5">
        <v>34.273739999999997</v>
      </c>
      <c r="M189" s="5">
        <v>85.328069999999997</v>
      </c>
      <c r="N189">
        <v>95.99898209459846</v>
      </c>
    </row>
    <row r="190" spans="1:14" x14ac:dyDescent="0.2">
      <c r="A190" s="4">
        <v>36404</v>
      </c>
      <c r="B190" s="5">
        <v>113.72548999999999</v>
      </c>
      <c r="C190" s="9">
        <v>89.273499999999999</v>
      </c>
      <c r="D190">
        <v>5.8438347045144123</v>
      </c>
      <c r="E190">
        <f t="shared" si="4"/>
        <v>112.55834529685724</v>
      </c>
      <c r="F190" s="9">
        <v>82.281999999999996</v>
      </c>
      <c r="G190" s="20">
        <v>0</v>
      </c>
      <c r="H190">
        <f t="shared" si="5"/>
        <v>0</v>
      </c>
      <c r="I190" s="5">
        <v>95.454549999999998</v>
      </c>
      <c r="J190" s="5">
        <v>82.619399999999999</v>
      </c>
      <c r="K190" s="5">
        <v>91.011589999999998</v>
      </c>
      <c r="L190" s="5">
        <v>38.497500000000002</v>
      </c>
      <c r="M190" s="5">
        <v>85.560959999999994</v>
      </c>
      <c r="N190">
        <v>95.73507230490759</v>
      </c>
    </row>
    <row r="191" spans="1:14" x14ac:dyDescent="0.2">
      <c r="A191" s="4">
        <v>36434</v>
      </c>
      <c r="B191" s="5">
        <v>115.68626999999999</v>
      </c>
      <c r="C191" s="9">
        <v>89.310500000000005</v>
      </c>
      <c r="D191">
        <v>5.8940621144578351</v>
      </c>
      <c r="E191">
        <f t="shared" si="4"/>
        <v>113.52577754599515</v>
      </c>
      <c r="F191" s="9">
        <v>82.427999999999997</v>
      </c>
      <c r="G191" s="20">
        <v>9.0533641632543835E-2</v>
      </c>
      <c r="H191">
        <f t="shared" si="5"/>
        <v>-350.03082126851575</v>
      </c>
      <c r="I191" s="5">
        <v>93.181820000000002</v>
      </c>
      <c r="J191" s="5">
        <v>82.767110000000002</v>
      </c>
      <c r="K191" s="5">
        <v>62.138210000000001</v>
      </c>
      <c r="L191" s="5">
        <v>36.498469999999998</v>
      </c>
      <c r="M191" s="5">
        <v>85.884969999999996</v>
      </c>
      <c r="N191">
        <v>95.489125302055825</v>
      </c>
    </row>
    <row r="192" spans="1:14" x14ac:dyDescent="0.2">
      <c r="A192" s="4">
        <v>36465</v>
      </c>
      <c r="B192" s="5">
        <v>115.68626999999999</v>
      </c>
      <c r="C192" s="9">
        <v>88.478999999999999</v>
      </c>
      <c r="D192">
        <v>5.9384209080906061</v>
      </c>
      <c r="E192">
        <f t="shared" si="4"/>
        <v>114.38017413028123</v>
      </c>
      <c r="F192" s="9">
        <v>82.11</v>
      </c>
      <c r="G192" s="20">
        <v>7.8212154887572466E-2</v>
      </c>
      <c r="H192">
        <f t="shared" si="5"/>
        <v>-302.39217505016774</v>
      </c>
      <c r="I192" s="5">
        <v>93.181820000000002</v>
      </c>
      <c r="J192" s="5">
        <v>82.914820000000006</v>
      </c>
      <c r="K192" s="5">
        <v>80.268500000000003</v>
      </c>
      <c r="L192" s="5">
        <v>40.254719999999999</v>
      </c>
      <c r="M192" s="5">
        <v>86.138109999999998</v>
      </c>
      <c r="N192">
        <v>95.031597883979927</v>
      </c>
    </row>
    <row r="193" spans="1:14" x14ac:dyDescent="0.2">
      <c r="A193" s="4">
        <v>36495</v>
      </c>
      <c r="B193" s="5">
        <v>113.72548999999999</v>
      </c>
      <c r="C193" s="9">
        <v>88.405500000000004</v>
      </c>
      <c r="D193">
        <v>6.0685134274003527</v>
      </c>
      <c r="E193">
        <f t="shared" si="4"/>
        <v>116.88589159995789</v>
      </c>
      <c r="F193" s="9">
        <v>82.475999999999999</v>
      </c>
      <c r="G193" s="20">
        <v>4.433352736930897E-2</v>
      </c>
      <c r="H193">
        <f t="shared" si="5"/>
        <v>-171.40701196792682</v>
      </c>
      <c r="I193" s="5">
        <v>90.909090000000006</v>
      </c>
      <c r="J193" s="5">
        <v>83.111770000000007</v>
      </c>
      <c r="K193" s="5">
        <v>95.480789999999999</v>
      </c>
      <c r="L193" s="5">
        <v>42.044170000000001</v>
      </c>
      <c r="M193" s="5">
        <v>86.482380000000006</v>
      </c>
      <c r="N193">
        <v>94.690414663000098</v>
      </c>
    </row>
    <row r="194" spans="1:14" x14ac:dyDescent="0.2">
      <c r="A194" s="4">
        <v>36526</v>
      </c>
      <c r="B194" s="5">
        <v>109.80392000000001</v>
      </c>
      <c r="C194" s="9">
        <v>87.974000000000004</v>
      </c>
      <c r="D194">
        <v>6.3020848372015852</v>
      </c>
      <c r="E194">
        <f t="shared" si="4"/>
        <v>121.38472031863662</v>
      </c>
      <c r="F194" s="9">
        <v>82.715000000000003</v>
      </c>
      <c r="G194" s="20">
        <v>0</v>
      </c>
      <c r="H194">
        <f t="shared" si="5"/>
        <v>0</v>
      </c>
      <c r="I194" s="5">
        <v>90.909090000000006</v>
      </c>
      <c r="J194" s="5">
        <v>83.357950000000002</v>
      </c>
      <c r="K194" s="5">
        <v>141.32105000000001</v>
      </c>
      <c r="L194" s="5">
        <v>43.817509999999999</v>
      </c>
      <c r="M194" s="5">
        <v>86.69502</v>
      </c>
      <c r="N194">
        <v>94.893285170297204</v>
      </c>
    </row>
    <row r="195" spans="1:14" x14ac:dyDescent="0.2">
      <c r="A195" s="4">
        <v>36557</v>
      </c>
      <c r="B195" s="5">
        <v>105.88235</v>
      </c>
      <c r="C195" s="9">
        <v>88.36</v>
      </c>
      <c r="D195">
        <v>6.9519134919851693</v>
      </c>
      <c r="E195">
        <f t="shared" ref="E195:E258" si="6">(D195 / $D$277) * 100</f>
        <v>133.90109728809793</v>
      </c>
      <c r="F195" s="9">
        <v>82.99</v>
      </c>
      <c r="G195" s="20">
        <v>1.0886590689719674E-2</v>
      </c>
      <c r="H195">
        <f t="shared" ref="H195:H258" si="7">(G195 / G$277) * 100</f>
        <v>-42.090898048742091</v>
      </c>
      <c r="I195" s="5">
        <v>93.181820000000002</v>
      </c>
      <c r="J195" s="5">
        <v>83.702610000000007</v>
      </c>
      <c r="K195" s="5">
        <v>102.20276</v>
      </c>
      <c r="L195" s="5">
        <v>47.315809999999999</v>
      </c>
      <c r="M195" s="5">
        <v>86.897530000000003</v>
      </c>
      <c r="N195">
        <v>95.290566886187563</v>
      </c>
    </row>
    <row r="196" spans="1:14" x14ac:dyDescent="0.2">
      <c r="A196" s="4">
        <v>36586</v>
      </c>
      <c r="B196" s="5">
        <v>102.94118</v>
      </c>
      <c r="C196" s="9">
        <v>89.130500000000012</v>
      </c>
      <c r="D196">
        <v>7.1527402325817127</v>
      </c>
      <c r="E196">
        <f t="shared" si="6"/>
        <v>137.76922956012228</v>
      </c>
      <c r="F196" s="9">
        <v>83.584000000000003</v>
      </c>
      <c r="G196" s="20">
        <v>4.8737454071610007E-3</v>
      </c>
      <c r="H196">
        <f t="shared" si="7"/>
        <v>-18.843394309115975</v>
      </c>
      <c r="I196" s="5">
        <v>90.909090000000006</v>
      </c>
      <c r="J196" s="5">
        <v>84.194980000000001</v>
      </c>
      <c r="K196" s="5">
        <v>125.36233</v>
      </c>
      <c r="L196" s="5">
        <v>48.186360000000001</v>
      </c>
      <c r="M196" s="5">
        <v>87.322800000000001</v>
      </c>
      <c r="N196">
        <v>95.249317811050332</v>
      </c>
    </row>
    <row r="197" spans="1:14" x14ac:dyDescent="0.2">
      <c r="A197" s="4">
        <v>36617</v>
      </c>
      <c r="B197" s="5">
        <v>100.98039</v>
      </c>
      <c r="C197" s="9">
        <v>87.6905</v>
      </c>
      <c r="D197">
        <v>7.2668200387681736</v>
      </c>
      <c r="E197">
        <f t="shared" si="6"/>
        <v>139.96652549086014</v>
      </c>
      <c r="F197" s="9">
        <v>83.763999999999996</v>
      </c>
      <c r="G197" s="20">
        <v>0</v>
      </c>
      <c r="H197">
        <f t="shared" si="7"/>
        <v>0</v>
      </c>
      <c r="I197" s="5">
        <v>86.363640000000004</v>
      </c>
      <c r="J197" s="5">
        <v>84.145740000000004</v>
      </c>
      <c r="K197" s="5">
        <v>83.539249999999996</v>
      </c>
      <c r="L197" s="5">
        <v>41.496049999999997</v>
      </c>
      <c r="M197" s="5">
        <v>87.656949999999995</v>
      </c>
      <c r="N197">
        <v>95.071490216707474</v>
      </c>
    </row>
    <row r="198" spans="1:14" x14ac:dyDescent="0.2">
      <c r="A198" s="4">
        <v>36647</v>
      </c>
      <c r="B198" s="5">
        <v>99.01961</v>
      </c>
      <c r="C198" s="9">
        <v>87.72</v>
      </c>
      <c r="D198">
        <v>7.5638422986403056</v>
      </c>
      <c r="E198">
        <f t="shared" si="6"/>
        <v>145.68748369347898</v>
      </c>
      <c r="F198" s="9">
        <v>83.602999999999994</v>
      </c>
      <c r="G198" s="20">
        <v>6.5372113979266733E-2</v>
      </c>
      <c r="H198">
        <f t="shared" si="7"/>
        <v>-252.74863941843631</v>
      </c>
      <c r="I198" s="5">
        <v>90.909090000000006</v>
      </c>
      <c r="J198" s="5">
        <v>84.293450000000007</v>
      </c>
      <c r="K198" s="5">
        <v>104.69584</v>
      </c>
      <c r="L198" s="5">
        <v>46.396900000000002</v>
      </c>
      <c r="M198" s="5">
        <v>87.839209999999994</v>
      </c>
      <c r="N198">
        <v>94.959526178637788</v>
      </c>
    </row>
    <row r="199" spans="1:14" x14ac:dyDescent="0.2">
      <c r="A199" s="4">
        <v>36678</v>
      </c>
      <c r="B199" s="5">
        <v>98.03922</v>
      </c>
      <c r="C199" s="9">
        <v>88.643499999999989</v>
      </c>
      <c r="D199">
        <v>7.3439866320716884</v>
      </c>
      <c r="E199">
        <f t="shared" si="6"/>
        <v>141.45283448035454</v>
      </c>
      <c r="F199" s="9">
        <v>84.429000000000002</v>
      </c>
      <c r="G199" s="20">
        <v>-2.1889879019991048E-2</v>
      </c>
      <c r="H199">
        <f t="shared" si="7"/>
        <v>84.632984961930845</v>
      </c>
      <c r="I199" s="5">
        <v>90.909090000000006</v>
      </c>
      <c r="J199" s="5">
        <v>84.785820000000001</v>
      </c>
      <c r="K199" s="5">
        <v>115.29924</v>
      </c>
      <c r="L199" s="5">
        <v>51.313879999999997</v>
      </c>
      <c r="M199" s="5">
        <v>87.99109</v>
      </c>
      <c r="N199">
        <v>95.762524698973621</v>
      </c>
    </row>
    <row r="200" spans="1:14" x14ac:dyDescent="0.2">
      <c r="A200" s="4">
        <v>36708</v>
      </c>
      <c r="B200" s="5">
        <v>97.058819999999997</v>
      </c>
      <c r="C200" s="9">
        <v>88.538999999999987</v>
      </c>
      <c r="D200">
        <v>7.0745845897481816</v>
      </c>
      <c r="E200">
        <f t="shared" si="6"/>
        <v>136.26387044615581</v>
      </c>
      <c r="F200" s="9">
        <v>85.045000000000002</v>
      </c>
      <c r="G200" s="20">
        <v>0</v>
      </c>
      <c r="H200">
        <f t="shared" si="7"/>
        <v>0</v>
      </c>
      <c r="I200" s="5">
        <v>90.909090000000006</v>
      </c>
      <c r="J200" s="5">
        <v>85.031999999999996</v>
      </c>
      <c r="K200" s="5">
        <v>126.07979</v>
      </c>
      <c r="L200" s="5">
        <v>47.992910000000002</v>
      </c>
      <c r="M200" s="5">
        <v>88.203729999999993</v>
      </c>
      <c r="N200">
        <v>96.558793715085983</v>
      </c>
    </row>
    <row r="201" spans="1:14" x14ac:dyDescent="0.2">
      <c r="A201" s="4">
        <v>36739</v>
      </c>
      <c r="B201" s="5">
        <v>96.078429999999997</v>
      </c>
      <c r="C201" s="9">
        <v>88.308499999999995</v>
      </c>
      <c r="D201">
        <v>7.1461747419976795</v>
      </c>
      <c r="E201">
        <f t="shared" si="6"/>
        <v>137.64277137066836</v>
      </c>
      <c r="F201" s="9">
        <v>84.599000000000004</v>
      </c>
      <c r="G201" s="20">
        <v>2.3740665033619199E-2</v>
      </c>
      <c r="H201">
        <f t="shared" si="7"/>
        <v>-91.788691245921413</v>
      </c>
      <c r="I201" s="5">
        <v>93.181820000000002</v>
      </c>
      <c r="J201" s="5">
        <v>85.031999999999996</v>
      </c>
      <c r="K201" s="5">
        <v>105.50914</v>
      </c>
      <c r="L201" s="5">
        <v>50.330489999999998</v>
      </c>
      <c r="M201" s="5">
        <v>88.335359999999994</v>
      </c>
      <c r="N201">
        <v>96.84642412719117</v>
      </c>
    </row>
    <row r="202" spans="1:14" x14ac:dyDescent="0.2">
      <c r="A202" s="4">
        <v>36770</v>
      </c>
      <c r="B202" s="5">
        <v>95.098039999999997</v>
      </c>
      <c r="C202" s="9">
        <v>88.175000000000011</v>
      </c>
      <c r="D202">
        <v>6.8075565061447625</v>
      </c>
      <c r="E202">
        <f t="shared" si="6"/>
        <v>131.12063133041335</v>
      </c>
      <c r="F202" s="9">
        <v>84.605999999999995</v>
      </c>
      <c r="G202" s="20">
        <v>0</v>
      </c>
      <c r="H202">
        <f t="shared" si="7"/>
        <v>0</v>
      </c>
      <c r="I202" s="5">
        <v>88.636359999999996</v>
      </c>
      <c r="J202" s="5">
        <v>85.475139999999996</v>
      </c>
      <c r="K202" s="5">
        <v>112.59152</v>
      </c>
      <c r="L202" s="5">
        <v>54.618729999999999</v>
      </c>
      <c r="M202" s="5">
        <v>88.568250000000006</v>
      </c>
      <c r="N202">
        <v>96.698428556288917</v>
      </c>
    </row>
    <row r="203" spans="1:14" x14ac:dyDescent="0.2">
      <c r="A203" s="4">
        <v>36800</v>
      </c>
      <c r="B203" s="5">
        <v>95.098039999999997</v>
      </c>
      <c r="C203" s="9">
        <v>89.727499999999992</v>
      </c>
      <c r="D203">
        <v>6.5075117118342867</v>
      </c>
      <c r="E203">
        <f t="shared" si="6"/>
        <v>125.34145596523175</v>
      </c>
      <c r="F203" s="9">
        <v>84.974000000000004</v>
      </c>
      <c r="G203" s="20">
        <v>5.3056439964911842E-2</v>
      </c>
      <c r="H203">
        <f t="shared" si="7"/>
        <v>-205.1324669991624</v>
      </c>
      <c r="I203" s="5">
        <v>88.636359999999996</v>
      </c>
      <c r="J203" s="5">
        <v>85.62285</v>
      </c>
      <c r="K203" s="5">
        <v>99.102080000000001</v>
      </c>
      <c r="L203" s="5">
        <v>53.329030000000003</v>
      </c>
      <c r="M203" s="5">
        <v>88.699879999999993</v>
      </c>
      <c r="N203">
        <v>96.486374931794089</v>
      </c>
    </row>
    <row r="204" spans="1:14" x14ac:dyDescent="0.2">
      <c r="A204" s="4">
        <v>36831</v>
      </c>
      <c r="B204" s="5">
        <v>96.078429999999997</v>
      </c>
      <c r="C204" s="9">
        <v>89.830000000000013</v>
      </c>
      <c r="D204">
        <v>6.4532069396180702</v>
      </c>
      <c r="E204">
        <f t="shared" si="6"/>
        <v>124.29548947037894</v>
      </c>
      <c r="F204" s="9">
        <v>85.231999999999999</v>
      </c>
      <c r="G204" s="20">
        <v>1.425788160677437E-2</v>
      </c>
      <c r="H204">
        <f t="shared" si="7"/>
        <v>-55.125342561880416</v>
      </c>
      <c r="I204" s="5">
        <v>88.636359999999996</v>
      </c>
      <c r="J204" s="5">
        <v>85.770560000000003</v>
      </c>
      <c r="K204" s="5">
        <v>97.293289999999999</v>
      </c>
      <c r="L204" s="5">
        <v>55.457039999999999</v>
      </c>
      <c r="M204" s="5">
        <v>88.912520000000001</v>
      </c>
      <c r="N204">
        <v>96.455963768835247</v>
      </c>
    </row>
    <row r="205" spans="1:14" x14ac:dyDescent="0.2">
      <c r="A205" s="4">
        <v>36861</v>
      </c>
      <c r="B205" s="5">
        <v>98.03922</v>
      </c>
      <c r="C205" s="9">
        <v>89.701499999999996</v>
      </c>
      <c r="D205">
        <v>6.0010817507345555</v>
      </c>
      <c r="E205">
        <f t="shared" si="6"/>
        <v>115.58708724804296</v>
      </c>
      <c r="F205" s="9">
        <v>85.387</v>
      </c>
      <c r="G205" s="20">
        <v>3.1486807315018808E-2</v>
      </c>
      <c r="H205">
        <f t="shared" si="7"/>
        <v>-121.73765270961698</v>
      </c>
      <c r="I205" s="5">
        <v>88.636359999999996</v>
      </c>
      <c r="J205" s="5">
        <v>85.967500000000001</v>
      </c>
      <c r="K205" s="5">
        <v>120.94678999999999</v>
      </c>
      <c r="L205" s="5">
        <v>45.881030000000003</v>
      </c>
      <c r="M205" s="5">
        <v>89.084649999999996</v>
      </c>
      <c r="N205">
        <v>96.135079656184047</v>
      </c>
    </row>
    <row r="206" spans="1:14" x14ac:dyDescent="0.2">
      <c r="A206" s="4">
        <v>36892</v>
      </c>
      <c r="B206" s="5">
        <v>101.96078</v>
      </c>
      <c r="C206" s="9">
        <v>90.447000000000003</v>
      </c>
      <c r="D206">
        <v>4.8412516912476589</v>
      </c>
      <c r="E206">
        <f t="shared" si="6"/>
        <v>93.247551836380694</v>
      </c>
      <c r="F206" s="9">
        <v>85.025000000000006</v>
      </c>
      <c r="G206" s="20">
        <v>-0.12892390878343413</v>
      </c>
      <c r="H206">
        <f t="shared" si="7"/>
        <v>498.4593666934843</v>
      </c>
      <c r="I206" s="5">
        <v>95.454549999999998</v>
      </c>
      <c r="J206" s="5">
        <v>86.459869999999995</v>
      </c>
      <c r="K206" s="5">
        <v>149.56551999999999</v>
      </c>
      <c r="L206" s="5">
        <v>47.686599999999999</v>
      </c>
      <c r="M206" s="5">
        <v>89.115030000000004</v>
      </c>
      <c r="N206">
        <v>95.81084255009759</v>
      </c>
    </row>
    <row r="207" spans="1:14" x14ac:dyDescent="0.2">
      <c r="A207" s="4">
        <v>36923</v>
      </c>
      <c r="B207" s="5">
        <v>105.88235</v>
      </c>
      <c r="C207" s="9">
        <v>90.840499999999992</v>
      </c>
      <c r="D207">
        <v>4.7793263213357084</v>
      </c>
      <c r="E207">
        <f t="shared" si="6"/>
        <v>92.054804689751037</v>
      </c>
      <c r="F207" s="9">
        <v>85.114000000000004</v>
      </c>
      <c r="G207" s="20">
        <v>0</v>
      </c>
      <c r="H207">
        <f t="shared" si="7"/>
        <v>0</v>
      </c>
      <c r="I207" s="5">
        <v>95.454549999999998</v>
      </c>
      <c r="J207" s="5">
        <v>86.656819999999996</v>
      </c>
      <c r="K207" s="5">
        <v>104.08147</v>
      </c>
      <c r="L207" s="5">
        <v>47.734969999999997</v>
      </c>
      <c r="M207" s="5">
        <v>89.256780000000006</v>
      </c>
      <c r="N207">
        <v>95.954780378084052</v>
      </c>
    </row>
    <row r="208" spans="1:14" x14ac:dyDescent="0.2">
      <c r="A208" s="4">
        <v>36951</v>
      </c>
      <c r="B208" s="5">
        <v>108.82353000000001</v>
      </c>
      <c r="C208" s="9">
        <v>88.802999999999997</v>
      </c>
      <c r="D208">
        <v>4.4905320233801937</v>
      </c>
      <c r="E208">
        <f t="shared" si="6"/>
        <v>86.492325606636484</v>
      </c>
      <c r="F208" s="9">
        <v>84.989000000000004</v>
      </c>
      <c r="G208" s="20">
        <v>-6.6031830931825033E-2</v>
      </c>
      <c r="H208">
        <f t="shared" si="7"/>
        <v>255.29930746342671</v>
      </c>
      <c r="I208" s="5">
        <v>97.727270000000004</v>
      </c>
      <c r="J208" s="5">
        <v>86.706059999999994</v>
      </c>
      <c r="K208" s="5">
        <v>109.78153</v>
      </c>
      <c r="L208" s="5">
        <v>43.914239999999999</v>
      </c>
      <c r="M208" s="5">
        <v>89.327659999999995</v>
      </c>
      <c r="N208">
        <v>96.237533008217071</v>
      </c>
    </row>
    <row r="209" spans="1:14" x14ac:dyDescent="0.2">
      <c r="A209" s="4">
        <v>36982</v>
      </c>
      <c r="B209" s="5">
        <v>109.80392000000001</v>
      </c>
      <c r="C209" s="9">
        <v>88.99799999999999</v>
      </c>
      <c r="D209">
        <v>4.0068331880072412</v>
      </c>
      <c r="E209">
        <f t="shared" si="6"/>
        <v>77.175782055269821</v>
      </c>
      <c r="F209" s="9">
        <v>84.888999999999996</v>
      </c>
      <c r="G209" s="20">
        <v>-0.28253071359615572</v>
      </c>
      <c r="H209">
        <f t="shared" si="7"/>
        <v>1092.3503786032718</v>
      </c>
      <c r="I209" s="5">
        <v>100</v>
      </c>
      <c r="J209" s="5">
        <v>86.853769999999997</v>
      </c>
      <c r="K209" s="5">
        <v>115.37624</v>
      </c>
      <c r="L209" s="5">
        <v>44.188299999999998</v>
      </c>
      <c r="M209" s="5">
        <v>89.317539999999994</v>
      </c>
      <c r="N209">
        <v>96.02261678712739</v>
      </c>
    </row>
    <row r="210" spans="1:14" x14ac:dyDescent="0.2">
      <c r="A210" s="4">
        <v>37012</v>
      </c>
      <c r="B210" s="5">
        <v>110.78431</v>
      </c>
      <c r="C210" s="9">
        <v>89.358000000000004</v>
      </c>
      <c r="D210">
        <v>3.7362214785431482</v>
      </c>
      <c r="E210">
        <f t="shared" si="6"/>
        <v>71.963518571550495</v>
      </c>
      <c r="F210" s="9">
        <v>85.462000000000003</v>
      </c>
      <c r="G210" s="20">
        <v>-0.12929760487629391</v>
      </c>
      <c r="H210">
        <f t="shared" si="7"/>
        <v>499.90419038476415</v>
      </c>
      <c r="I210" s="5">
        <v>97.727270000000004</v>
      </c>
      <c r="J210" s="5">
        <v>87.296899999999994</v>
      </c>
      <c r="K210" s="5">
        <v>128.45555999999999</v>
      </c>
      <c r="L210" s="5">
        <v>46.171210000000002</v>
      </c>
      <c r="M210" s="5">
        <v>89.449169999999995</v>
      </c>
      <c r="N210">
        <v>95.408653708341078</v>
      </c>
    </row>
    <row r="211" spans="1:14" x14ac:dyDescent="0.2">
      <c r="A211" s="4">
        <v>37043</v>
      </c>
      <c r="B211" s="5">
        <v>111.76470999999999</v>
      </c>
      <c r="C211" s="9">
        <v>89.6845</v>
      </c>
      <c r="D211">
        <v>3.6286721265434929</v>
      </c>
      <c r="E211">
        <f t="shared" si="6"/>
        <v>69.892005992750356</v>
      </c>
      <c r="F211" s="9">
        <v>85.694999999999993</v>
      </c>
      <c r="G211" s="20">
        <v>8.620084812888576E-2</v>
      </c>
      <c r="H211">
        <f t="shared" si="7"/>
        <v>-333.27891290468432</v>
      </c>
      <c r="I211" s="5">
        <v>102.27273</v>
      </c>
      <c r="J211" s="5">
        <v>87.493849999999995</v>
      </c>
      <c r="K211" s="5">
        <v>129.21446</v>
      </c>
      <c r="L211" s="5">
        <v>44.494599999999998</v>
      </c>
      <c r="M211" s="5">
        <v>89.418790000000001</v>
      </c>
      <c r="N211">
        <v>94.755501827193228</v>
      </c>
    </row>
    <row r="212" spans="1:14" x14ac:dyDescent="0.2">
      <c r="A212" s="4">
        <v>37073</v>
      </c>
      <c r="B212" s="5">
        <v>113.72548999999999</v>
      </c>
      <c r="C212" s="9">
        <v>90.353499999999997</v>
      </c>
      <c r="D212">
        <v>3.6008051403528221</v>
      </c>
      <c r="E212">
        <f t="shared" si="6"/>
        <v>69.355258803167928</v>
      </c>
      <c r="F212" s="9">
        <v>84.914000000000001</v>
      </c>
      <c r="G212" s="20">
        <v>0</v>
      </c>
      <c r="H212">
        <f t="shared" si="7"/>
        <v>0</v>
      </c>
      <c r="I212" s="5">
        <v>104.54545</v>
      </c>
      <c r="J212" s="5">
        <v>87.346130000000002</v>
      </c>
      <c r="K212" s="5">
        <v>89.341390000000004</v>
      </c>
      <c r="L212" s="5">
        <v>42.640659999999997</v>
      </c>
      <c r="M212" s="5">
        <v>89.418790000000001</v>
      </c>
      <c r="N212">
        <v>94.778580379250542</v>
      </c>
    </row>
    <row r="213" spans="1:14" x14ac:dyDescent="0.2">
      <c r="A213" s="4">
        <v>37104</v>
      </c>
      <c r="B213" s="5">
        <v>114.70587999999999</v>
      </c>
      <c r="C213" s="9">
        <v>90.295500000000004</v>
      </c>
      <c r="D213">
        <v>3.4208644888034363</v>
      </c>
      <c r="E213">
        <f t="shared" si="6"/>
        <v>65.889414368110423</v>
      </c>
      <c r="F213" s="9">
        <v>84.277000000000001</v>
      </c>
      <c r="G213" s="20">
        <v>-2.763512346015936E-2</v>
      </c>
      <c r="H213">
        <f t="shared" si="7"/>
        <v>106.84586178337527</v>
      </c>
      <c r="I213" s="5">
        <v>111.36364</v>
      </c>
      <c r="J213" s="5">
        <v>87.346130000000002</v>
      </c>
      <c r="K213" s="5">
        <v>139.62128000000001</v>
      </c>
      <c r="L213" s="5">
        <v>44.285020000000003</v>
      </c>
      <c r="M213" s="5">
        <v>89.347909999999999</v>
      </c>
      <c r="N213">
        <v>94.980673611811412</v>
      </c>
    </row>
    <row r="214" spans="1:14" x14ac:dyDescent="0.2">
      <c r="A214" s="4">
        <v>37135</v>
      </c>
      <c r="B214" s="5">
        <v>115.68626999999999</v>
      </c>
      <c r="C214" s="9">
        <v>90.545500000000004</v>
      </c>
      <c r="D214">
        <v>2.5350853580230925</v>
      </c>
      <c r="E214">
        <f t="shared" si="6"/>
        <v>48.828385386215459</v>
      </c>
      <c r="F214" s="9">
        <v>84.364999999999995</v>
      </c>
      <c r="G214" s="20">
        <v>0</v>
      </c>
      <c r="H214">
        <f t="shared" si="7"/>
        <v>0</v>
      </c>
      <c r="I214" s="5">
        <v>113.63636</v>
      </c>
      <c r="J214" s="5">
        <v>87.690790000000007</v>
      </c>
      <c r="K214" s="5">
        <v>102.08989</v>
      </c>
      <c r="L214" s="5">
        <v>41.72175</v>
      </c>
      <c r="M214" s="5">
        <v>89.317539999999994</v>
      </c>
      <c r="N214">
        <v>95.217011180861419</v>
      </c>
    </row>
    <row r="215" spans="1:14" x14ac:dyDescent="0.2">
      <c r="A215" s="4">
        <v>37165</v>
      </c>
      <c r="B215" s="5">
        <v>115.68626999999999</v>
      </c>
      <c r="C215" s="9">
        <v>90.509999999999991</v>
      </c>
      <c r="D215">
        <v>1.9616703520016634</v>
      </c>
      <c r="E215">
        <f t="shared" si="6"/>
        <v>37.783814909863729</v>
      </c>
      <c r="F215" s="9">
        <v>84.412999999999997</v>
      </c>
      <c r="G215" s="20">
        <v>-5.4154232574639936E-2</v>
      </c>
      <c r="H215">
        <f t="shared" si="7"/>
        <v>209.37686987345816</v>
      </c>
      <c r="I215" s="5">
        <v>120.45455</v>
      </c>
      <c r="J215" s="5">
        <v>87.444609999999997</v>
      </c>
      <c r="K215" s="5">
        <v>153.51330999999999</v>
      </c>
      <c r="L215" s="5">
        <v>35.805259999999997</v>
      </c>
      <c r="M215" s="5">
        <v>89.175780000000003</v>
      </c>
      <c r="N215">
        <v>95.006794098673325</v>
      </c>
    </row>
    <row r="216" spans="1:14" x14ac:dyDescent="0.2">
      <c r="A216" s="4">
        <v>37196</v>
      </c>
      <c r="B216" s="5">
        <v>113.72548999999999</v>
      </c>
      <c r="C216" s="9">
        <v>91.033500000000004</v>
      </c>
      <c r="D216">
        <v>1.9706488720996418</v>
      </c>
      <c r="E216">
        <f t="shared" si="6"/>
        <v>37.956750561972832</v>
      </c>
      <c r="F216" s="9">
        <v>83.96</v>
      </c>
      <c r="G216" s="20">
        <v>-0.15317738547511256</v>
      </c>
      <c r="H216">
        <f t="shared" si="7"/>
        <v>592.23074506641967</v>
      </c>
      <c r="I216" s="5">
        <v>125</v>
      </c>
      <c r="J216" s="5">
        <v>87.39537</v>
      </c>
      <c r="K216" s="5">
        <v>126.32958000000001</v>
      </c>
      <c r="L216" s="5">
        <v>31.710460000000001</v>
      </c>
      <c r="M216" s="5">
        <v>89.064400000000006</v>
      </c>
      <c r="N216">
        <v>94.956040153125883</v>
      </c>
    </row>
    <row r="217" spans="1:14" x14ac:dyDescent="0.2">
      <c r="A217" s="4">
        <v>37226</v>
      </c>
      <c r="B217" s="5">
        <v>111.76470999999999</v>
      </c>
      <c r="C217" s="9">
        <v>91.044000000000011</v>
      </c>
      <c r="D217">
        <v>2.2864283762617683</v>
      </c>
      <c r="E217">
        <f t="shared" si="6"/>
        <v>44.038992833420593</v>
      </c>
      <c r="F217" s="9">
        <v>83.713999999999999</v>
      </c>
      <c r="G217" s="20">
        <v>-6.1780676677188263E-2</v>
      </c>
      <c r="H217">
        <f t="shared" si="7"/>
        <v>238.86304147150673</v>
      </c>
      <c r="I217" s="5">
        <v>129.54544999999999</v>
      </c>
      <c r="J217" s="5">
        <v>87.346130000000002</v>
      </c>
      <c r="K217" s="5">
        <v>90.817970000000003</v>
      </c>
      <c r="L217" s="5">
        <v>31.16234</v>
      </c>
      <c r="M217" s="5">
        <v>89.003649999999993</v>
      </c>
      <c r="N217">
        <v>94.615009055225386</v>
      </c>
    </row>
    <row r="218" spans="1:14" x14ac:dyDescent="0.2">
      <c r="A218" s="4">
        <v>37257</v>
      </c>
      <c r="B218" s="5">
        <v>109.80392000000001</v>
      </c>
      <c r="C218" s="9">
        <v>91.1845</v>
      </c>
      <c r="D218">
        <v>2.2061108470856752</v>
      </c>
      <c r="E218">
        <f t="shared" si="6"/>
        <v>42.491993535954279</v>
      </c>
      <c r="F218" s="9">
        <v>83.501999999999995</v>
      </c>
      <c r="G218" s="20">
        <v>3.6555676418820598E-2</v>
      </c>
      <c r="H218">
        <f t="shared" si="7"/>
        <v>-141.33545506586901</v>
      </c>
      <c r="I218" s="5">
        <v>129.54544999999999</v>
      </c>
      <c r="J218" s="5">
        <v>87.493849999999995</v>
      </c>
      <c r="K218" s="5">
        <v>101.32241999999999</v>
      </c>
      <c r="L218" s="5">
        <v>31.710460000000001</v>
      </c>
      <c r="M218" s="5">
        <v>89.054270000000002</v>
      </c>
      <c r="N218">
        <v>94.951410923236693</v>
      </c>
    </row>
    <row r="219" spans="1:14" x14ac:dyDescent="0.2">
      <c r="A219" s="4">
        <v>37288</v>
      </c>
      <c r="B219" s="5">
        <v>131.37254999999999</v>
      </c>
      <c r="C219" s="9">
        <v>90.8155</v>
      </c>
      <c r="D219">
        <v>2.3155880292889064</v>
      </c>
      <c r="E219">
        <f t="shared" si="6"/>
        <v>44.600638133146418</v>
      </c>
      <c r="F219" s="9">
        <v>83.771000000000001</v>
      </c>
      <c r="G219" s="20">
        <v>0</v>
      </c>
      <c r="H219">
        <f t="shared" si="7"/>
        <v>0</v>
      </c>
      <c r="I219" s="5">
        <v>129.54544999999999</v>
      </c>
      <c r="J219" s="5">
        <v>87.641559999999998</v>
      </c>
      <c r="K219" s="5">
        <v>124.14112</v>
      </c>
      <c r="L219" s="5">
        <v>33.435429999999997</v>
      </c>
      <c r="M219" s="5">
        <v>89.074520000000007</v>
      </c>
      <c r="N219">
        <v>94.957157675908334</v>
      </c>
    </row>
    <row r="220" spans="1:14" x14ac:dyDescent="0.2">
      <c r="A220" s="4">
        <v>37316</v>
      </c>
      <c r="B220" s="5">
        <v>125.4902</v>
      </c>
      <c r="C220" s="9">
        <v>91.301999999999992</v>
      </c>
      <c r="D220">
        <v>2.7346235015025209</v>
      </c>
      <c r="E220">
        <f t="shared" si="6"/>
        <v>52.671697935131498</v>
      </c>
      <c r="F220" s="9">
        <v>83.754000000000005</v>
      </c>
      <c r="G220" s="20">
        <v>-6.0753880147180937E-2</v>
      </c>
      <c r="H220">
        <f t="shared" si="7"/>
        <v>234.89313121281091</v>
      </c>
      <c r="I220" s="5">
        <v>129.54544999999999</v>
      </c>
      <c r="J220" s="5">
        <v>87.887739999999994</v>
      </c>
      <c r="K220" s="5">
        <v>105.39615999999999</v>
      </c>
      <c r="L220" s="5">
        <v>39.368049999999997</v>
      </c>
      <c r="M220" s="5">
        <v>89.145399999999995</v>
      </c>
      <c r="N220">
        <v>95.404240870265284</v>
      </c>
    </row>
    <row r="221" spans="1:14" x14ac:dyDescent="0.2">
      <c r="A221" s="4">
        <v>37347</v>
      </c>
      <c r="B221" s="5">
        <v>122.54902</v>
      </c>
      <c r="C221" s="9">
        <v>90.859000000000009</v>
      </c>
      <c r="D221">
        <v>2.5888456710811121</v>
      </c>
      <c r="E221">
        <f t="shared" si="6"/>
        <v>49.863865030391068</v>
      </c>
      <c r="F221" s="9">
        <v>84.433999999999997</v>
      </c>
      <c r="G221" s="20">
        <v>0</v>
      </c>
      <c r="H221">
        <f t="shared" si="7"/>
        <v>0</v>
      </c>
      <c r="I221" s="5">
        <v>134.09091000000001</v>
      </c>
      <c r="J221" s="5">
        <v>88.281630000000007</v>
      </c>
      <c r="K221" s="5">
        <v>98.199830000000006</v>
      </c>
      <c r="L221" s="5">
        <v>42.350479999999997</v>
      </c>
      <c r="M221" s="5">
        <v>89.125150000000005</v>
      </c>
      <c r="N221">
        <v>95.360819458844702</v>
      </c>
    </row>
    <row r="222" spans="1:14" x14ac:dyDescent="0.2">
      <c r="A222" s="4">
        <v>37377</v>
      </c>
      <c r="B222" s="5">
        <v>121.56863</v>
      </c>
      <c r="C222" s="9">
        <v>91.273499999999999</v>
      </c>
      <c r="D222">
        <v>2.2343545139193877</v>
      </c>
      <c r="E222">
        <f t="shared" si="6"/>
        <v>43.0359959871979</v>
      </c>
      <c r="F222" s="9">
        <v>84.947000000000003</v>
      </c>
      <c r="G222" s="20">
        <v>-3.6360431090625089E-2</v>
      </c>
      <c r="H222">
        <f t="shared" si="7"/>
        <v>140.58057675384333</v>
      </c>
      <c r="I222" s="5">
        <v>131.81818000000001</v>
      </c>
      <c r="J222" s="5">
        <v>88.380110000000002</v>
      </c>
      <c r="K222" s="5">
        <v>88.796809999999994</v>
      </c>
      <c r="L222" s="5">
        <v>43.559570000000001</v>
      </c>
      <c r="M222" s="5">
        <v>89.27704</v>
      </c>
      <c r="N222">
        <v>95.712343976360486</v>
      </c>
    </row>
    <row r="223" spans="1:14" x14ac:dyDescent="0.2">
      <c r="A223" s="4">
        <v>37408</v>
      </c>
      <c r="B223" s="5">
        <v>121.56863</v>
      </c>
      <c r="C223" s="9">
        <v>91.160499999999999</v>
      </c>
      <c r="D223">
        <v>1.9884439569401291</v>
      </c>
      <c r="E223">
        <f t="shared" si="6"/>
        <v>38.299502437297974</v>
      </c>
      <c r="F223" s="9">
        <v>85.096999999999994</v>
      </c>
      <c r="G223" s="20">
        <v>2.0886714347265162E-2</v>
      </c>
      <c r="H223">
        <f t="shared" si="7"/>
        <v>-80.754442710344449</v>
      </c>
      <c r="I223" s="5">
        <v>131.81818000000001</v>
      </c>
      <c r="J223" s="5">
        <v>88.429349999999999</v>
      </c>
      <c r="K223" s="5">
        <v>91.817670000000007</v>
      </c>
      <c r="L223" s="5">
        <v>41.141379999999998</v>
      </c>
      <c r="M223" s="5">
        <v>89.378290000000007</v>
      </c>
      <c r="N223">
        <v>95.800363780013285</v>
      </c>
    </row>
    <row r="224" spans="1:14" x14ac:dyDescent="0.2">
      <c r="A224" s="4">
        <v>37438</v>
      </c>
      <c r="B224" s="5">
        <v>121.56863</v>
      </c>
      <c r="C224" s="9">
        <v>91.808999999999997</v>
      </c>
      <c r="D224">
        <v>1.5458393176190814</v>
      </c>
      <c r="E224">
        <f t="shared" si="6"/>
        <v>29.774475919315872</v>
      </c>
      <c r="F224" s="9">
        <v>85.260999999999996</v>
      </c>
      <c r="G224" s="20">
        <v>0</v>
      </c>
      <c r="H224">
        <f t="shared" si="7"/>
        <v>0</v>
      </c>
      <c r="I224" s="5">
        <v>131.81818000000001</v>
      </c>
      <c r="J224" s="5">
        <v>88.626289999999997</v>
      </c>
      <c r="K224" s="5">
        <v>82.370829999999998</v>
      </c>
      <c r="L224" s="5">
        <v>43.430599999999998</v>
      </c>
      <c r="M224" s="5">
        <v>89.479550000000003</v>
      </c>
      <c r="N224">
        <v>96.030653617305262</v>
      </c>
    </row>
    <row r="225" spans="1:14" x14ac:dyDescent="0.2">
      <c r="A225" s="4">
        <v>37469</v>
      </c>
      <c r="B225" s="5">
        <v>120.58824</v>
      </c>
      <c r="C225" s="9">
        <v>91.874499999999998</v>
      </c>
      <c r="D225">
        <v>1.1933934857503032</v>
      </c>
      <c r="E225">
        <f t="shared" si="6"/>
        <v>22.986001972358054</v>
      </c>
      <c r="F225" s="9">
        <v>85.21</v>
      </c>
      <c r="G225" s="20">
        <v>-0.11057043001386432</v>
      </c>
      <c r="H225">
        <f t="shared" si="7"/>
        <v>427.49918955931417</v>
      </c>
      <c r="I225" s="5">
        <v>129.54544999999999</v>
      </c>
      <c r="J225" s="5">
        <v>88.872479999999996</v>
      </c>
      <c r="K225" s="5">
        <v>83.862880000000004</v>
      </c>
      <c r="L225" s="5">
        <v>45.75206</v>
      </c>
      <c r="M225" s="5">
        <v>89.601050000000001</v>
      </c>
      <c r="N225">
        <v>96.420113599039709</v>
      </c>
    </row>
    <row r="226" spans="1:14" x14ac:dyDescent="0.2">
      <c r="A226" s="4">
        <v>37500</v>
      </c>
      <c r="B226" s="5">
        <v>118.62745</v>
      </c>
      <c r="C226" s="9">
        <v>91.614000000000004</v>
      </c>
      <c r="D226">
        <v>1.4177290896236814</v>
      </c>
      <c r="E226">
        <f t="shared" si="6"/>
        <v>27.306939445769508</v>
      </c>
      <c r="F226" s="9">
        <v>85.445999999999998</v>
      </c>
      <c r="G226" s="20">
        <v>-3.9163298487321623E-3</v>
      </c>
      <c r="H226">
        <f t="shared" si="7"/>
        <v>15.141732162658867</v>
      </c>
      <c r="I226" s="5">
        <v>129.54544999999999</v>
      </c>
      <c r="J226" s="5">
        <v>89.020189999999999</v>
      </c>
      <c r="K226" s="5">
        <v>99.715699999999998</v>
      </c>
      <c r="L226" s="5">
        <v>47.831690000000002</v>
      </c>
      <c r="M226" s="5">
        <v>89.651679999999999</v>
      </c>
      <c r="N226">
        <v>96.939299776933112</v>
      </c>
    </row>
    <row r="227" spans="1:14" x14ac:dyDescent="0.2">
      <c r="A227" s="4">
        <v>37530</v>
      </c>
      <c r="B227" s="5">
        <v>116.66667</v>
      </c>
      <c r="C227" s="9">
        <v>92.447000000000003</v>
      </c>
      <c r="D227">
        <v>1.1583427515184925</v>
      </c>
      <c r="E227">
        <f t="shared" si="6"/>
        <v>22.31088831051461</v>
      </c>
      <c r="F227" s="9">
        <v>85.724999999999994</v>
      </c>
      <c r="G227" s="20">
        <v>0</v>
      </c>
      <c r="H227">
        <f t="shared" si="7"/>
        <v>0</v>
      </c>
      <c r="I227" s="5">
        <v>129.54544999999999</v>
      </c>
      <c r="J227" s="5">
        <v>89.217129999999997</v>
      </c>
      <c r="K227" s="5">
        <v>84.896850000000001</v>
      </c>
      <c r="L227" s="5">
        <v>46.509749999999997</v>
      </c>
      <c r="M227" s="5">
        <v>89.803560000000004</v>
      </c>
      <c r="N227">
        <v>97.103879295950762</v>
      </c>
    </row>
    <row r="228" spans="1:14" x14ac:dyDescent="0.2">
      <c r="A228" s="4">
        <v>37561</v>
      </c>
      <c r="B228" s="5">
        <v>114.70587999999999</v>
      </c>
      <c r="C228" s="9">
        <v>92.214499999999987</v>
      </c>
      <c r="D228">
        <v>0.96395406079643964</v>
      </c>
      <c r="E228">
        <f t="shared" si="6"/>
        <v>18.566759587093621</v>
      </c>
      <c r="F228" s="9">
        <v>85.96</v>
      </c>
      <c r="G228" s="20">
        <v>-7.4642684818450641E-2</v>
      </c>
      <c r="H228">
        <f t="shared" si="7"/>
        <v>288.5915091622403</v>
      </c>
      <c r="I228" s="5">
        <v>134.09091000000001</v>
      </c>
      <c r="J228" s="5">
        <v>89.364840000000001</v>
      </c>
      <c r="K228" s="5">
        <v>70.113500000000002</v>
      </c>
      <c r="L228" s="5">
        <v>42.350479999999997</v>
      </c>
      <c r="M228" s="5">
        <v>89.833939999999998</v>
      </c>
      <c r="N228">
        <v>97.385421166994021</v>
      </c>
    </row>
    <row r="229" spans="1:14" x14ac:dyDescent="0.2">
      <c r="A229" s="4">
        <v>37591</v>
      </c>
      <c r="B229" s="5">
        <v>114.70587999999999</v>
      </c>
      <c r="C229" s="9">
        <v>92.188500000000005</v>
      </c>
      <c r="D229">
        <v>0.86294323423960773</v>
      </c>
      <c r="E229">
        <f t="shared" si="6"/>
        <v>16.621185821031801</v>
      </c>
      <c r="F229" s="9">
        <v>85.646000000000001</v>
      </c>
      <c r="G229" s="20">
        <v>2.948888401640385E-2</v>
      </c>
      <c r="H229">
        <f t="shared" si="7"/>
        <v>-114.01306856128302</v>
      </c>
      <c r="I229" s="5">
        <v>136.36364</v>
      </c>
      <c r="J229" s="5">
        <v>89.512559999999993</v>
      </c>
      <c r="K229" s="5">
        <v>110.53248000000001</v>
      </c>
      <c r="L229" s="5">
        <v>47.428660000000001</v>
      </c>
      <c r="M229" s="5">
        <v>89.844070000000002</v>
      </c>
      <c r="N229">
        <v>96.703798681574796</v>
      </c>
    </row>
    <row r="230" spans="1:14" x14ac:dyDescent="0.2">
      <c r="A230" s="4">
        <v>37622</v>
      </c>
      <c r="B230" s="5">
        <v>116.66667</v>
      </c>
      <c r="C230" s="9">
        <v>92.469500000000011</v>
      </c>
      <c r="D230">
        <v>0.55319638884790912</v>
      </c>
      <c r="E230">
        <f t="shared" si="6"/>
        <v>10.655138843132535</v>
      </c>
      <c r="F230" s="9">
        <v>85.707999999999998</v>
      </c>
      <c r="G230" s="20">
        <v>5.9956673787032559E-2</v>
      </c>
      <c r="H230">
        <f t="shared" si="7"/>
        <v>-231.81088695607582</v>
      </c>
      <c r="I230" s="5">
        <v>131.81818000000001</v>
      </c>
      <c r="J230" s="5">
        <v>89.906450000000007</v>
      </c>
      <c r="K230" s="5">
        <v>80.034970000000001</v>
      </c>
      <c r="L230" s="5">
        <v>53.103340000000003</v>
      </c>
      <c r="M230" s="5">
        <v>90.08708</v>
      </c>
      <c r="N230">
        <v>96.816795205086493</v>
      </c>
    </row>
    <row r="231" spans="1:14" x14ac:dyDescent="0.2">
      <c r="A231" s="4">
        <v>37653</v>
      </c>
      <c r="B231" s="5">
        <v>118.62745</v>
      </c>
      <c r="C231" s="9">
        <v>92.295500000000004</v>
      </c>
      <c r="D231">
        <v>0.54320655050430722</v>
      </c>
      <c r="E231">
        <f t="shared" si="6"/>
        <v>10.462724147886231</v>
      </c>
      <c r="F231" s="9">
        <v>86.26</v>
      </c>
      <c r="G231" s="20">
        <v>0</v>
      </c>
      <c r="H231">
        <f t="shared" si="7"/>
        <v>0</v>
      </c>
      <c r="I231" s="5">
        <v>134.09091000000001</v>
      </c>
      <c r="J231" s="5">
        <v>90.398820000000001</v>
      </c>
      <c r="K231" s="5">
        <v>72.492990000000006</v>
      </c>
      <c r="L231" s="5">
        <v>57.826860000000003</v>
      </c>
      <c r="M231" s="5">
        <v>90.066829999999996</v>
      </c>
      <c r="N231">
        <v>96.072913189509478</v>
      </c>
    </row>
    <row r="232" spans="1:14" x14ac:dyDescent="0.2">
      <c r="A232" s="4">
        <v>37681</v>
      </c>
      <c r="B232" s="5">
        <v>120.58824</v>
      </c>
      <c r="C232" s="9">
        <v>91.632999999999996</v>
      </c>
      <c r="D232">
        <v>0.49560100181479605</v>
      </c>
      <c r="E232">
        <f t="shared" si="6"/>
        <v>9.5457916783040684</v>
      </c>
      <c r="F232" s="9">
        <v>86.680999999999997</v>
      </c>
      <c r="G232" s="20">
        <v>7.6966422086788945E-3</v>
      </c>
      <c r="H232">
        <f t="shared" si="7"/>
        <v>-29.757579003045105</v>
      </c>
      <c r="I232" s="5">
        <v>134.09091000000001</v>
      </c>
      <c r="J232" s="5">
        <v>90.546530000000004</v>
      </c>
      <c r="K232" s="5">
        <v>41.320590000000003</v>
      </c>
      <c r="L232" s="5">
        <v>54.086730000000003</v>
      </c>
      <c r="M232" s="5">
        <v>90.066829999999996</v>
      </c>
      <c r="N232">
        <v>97.037507632546721</v>
      </c>
    </row>
    <row r="233" spans="1:14" x14ac:dyDescent="0.2">
      <c r="A233" s="4">
        <v>37712</v>
      </c>
      <c r="B233" s="5">
        <v>121.56863</v>
      </c>
      <c r="C233" s="9">
        <v>91.700500000000005</v>
      </c>
      <c r="D233">
        <v>0.44357308828098879</v>
      </c>
      <c r="E233">
        <f t="shared" si="6"/>
        <v>8.5436798540101062</v>
      </c>
      <c r="F233" s="9">
        <v>86.441000000000003</v>
      </c>
      <c r="G233" s="20">
        <v>0</v>
      </c>
      <c r="H233">
        <f t="shared" si="7"/>
        <v>0</v>
      </c>
      <c r="I233" s="5">
        <v>136.36364</v>
      </c>
      <c r="J233" s="5">
        <v>90.20187</v>
      </c>
      <c r="K233" s="5">
        <v>20.290859999999999</v>
      </c>
      <c r="L233" s="5">
        <v>45.542479999999998</v>
      </c>
      <c r="M233" s="5">
        <v>90.097210000000004</v>
      </c>
      <c r="N233">
        <v>96.928948324508539</v>
      </c>
    </row>
    <row r="234" spans="1:14" x14ac:dyDescent="0.2">
      <c r="A234" s="4">
        <v>37742</v>
      </c>
      <c r="B234" s="5">
        <v>121.56863</v>
      </c>
      <c r="C234" s="9">
        <v>91.885000000000005</v>
      </c>
      <c r="D234">
        <v>0.48758440476328146</v>
      </c>
      <c r="E234">
        <f t="shared" si="6"/>
        <v>9.391383666329828</v>
      </c>
      <c r="F234" s="9">
        <v>85.980999999999995</v>
      </c>
      <c r="G234" s="20">
        <v>-8.5424298554463193E-2</v>
      </c>
      <c r="H234">
        <f t="shared" si="7"/>
        <v>330.27653411609998</v>
      </c>
      <c r="I234" s="5">
        <v>138.63636</v>
      </c>
      <c r="J234" s="5">
        <v>90.054159999999996</v>
      </c>
      <c r="K234" s="5">
        <v>39.470550000000003</v>
      </c>
      <c r="L234" s="5">
        <v>45.36515</v>
      </c>
      <c r="M234" s="5">
        <v>90.147829999999999</v>
      </c>
      <c r="N234">
        <v>97.860462139114858</v>
      </c>
    </row>
    <row r="235" spans="1:14" x14ac:dyDescent="0.2">
      <c r="A235" s="4">
        <v>37773</v>
      </c>
      <c r="B235" s="5">
        <v>119.60784</v>
      </c>
      <c r="C235" s="9">
        <v>91.903999999999996</v>
      </c>
      <c r="D235">
        <v>0.34408869472087134</v>
      </c>
      <c r="E235">
        <f t="shared" si="6"/>
        <v>6.6275067779068833</v>
      </c>
      <c r="F235" s="9">
        <v>85.870999999999995</v>
      </c>
      <c r="G235" s="20">
        <v>0.14542694453442304</v>
      </c>
      <c r="H235">
        <f t="shared" si="7"/>
        <v>-562.26516366769806</v>
      </c>
      <c r="I235" s="5">
        <v>143.18181999999999</v>
      </c>
      <c r="J235" s="5">
        <v>90.152630000000002</v>
      </c>
      <c r="K235" s="5">
        <v>41.204929999999997</v>
      </c>
      <c r="L235" s="5">
        <v>49.524419999999999</v>
      </c>
      <c r="M235" s="5">
        <v>90.188339999999997</v>
      </c>
      <c r="N235">
        <v>97.686084225354136</v>
      </c>
    </row>
    <row r="236" spans="1:14" x14ac:dyDescent="0.2">
      <c r="A236" s="4">
        <v>37803</v>
      </c>
      <c r="B236" s="5">
        <v>118.62745</v>
      </c>
      <c r="C236" s="9">
        <v>91.919499999999999</v>
      </c>
      <c r="D236">
        <v>4.9418522149965116E-2</v>
      </c>
      <c r="E236">
        <f t="shared" si="6"/>
        <v>0.95185222742852538</v>
      </c>
      <c r="F236" s="9">
        <v>85.694999999999993</v>
      </c>
      <c r="G236" s="20">
        <v>0</v>
      </c>
      <c r="H236">
        <f t="shared" si="7"/>
        <v>0</v>
      </c>
      <c r="I236" s="5">
        <v>140.90908999999999</v>
      </c>
      <c r="J236" s="5">
        <v>90.448059999999998</v>
      </c>
      <c r="K236" s="5">
        <v>98.001379999999997</v>
      </c>
      <c r="L236" s="5">
        <v>49.588909999999998</v>
      </c>
      <c r="M236" s="5">
        <v>90.360470000000007</v>
      </c>
      <c r="N236">
        <v>98.370078504853581</v>
      </c>
    </row>
    <row r="237" spans="1:14" x14ac:dyDescent="0.2">
      <c r="A237" s="4">
        <v>37834</v>
      </c>
      <c r="B237" s="5">
        <v>116.66667</v>
      </c>
      <c r="C237" s="9">
        <v>91.646000000000001</v>
      </c>
      <c r="D237">
        <v>0.46962917546800798</v>
      </c>
      <c r="E237">
        <f t="shared" si="6"/>
        <v>9.0455472419456129</v>
      </c>
      <c r="F237" s="9">
        <v>85.923000000000002</v>
      </c>
      <c r="G237" s="20">
        <v>-3.0568769402149275E-2</v>
      </c>
      <c r="H237">
        <f t="shared" si="7"/>
        <v>118.18823661629764</v>
      </c>
      <c r="I237" s="5">
        <v>138.63636</v>
      </c>
      <c r="J237" s="5">
        <v>90.841949999999997</v>
      </c>
      <c r="K237" s="5">
        <v>86.493269999999995</v>
      </c>
      <c r="L237" s="5">
        <v>50.926969999999997</v>
      </c>
      <c r="M237" s="5">
        <v>90.512349999999998</v>
      </c>
      <c r="N237">
        <v>98.372141860112109</v>
      </c>
    </row>
    <row r="238" spans="1:14" x14ac:dyDescent="0.2">
      <c r="A238" s="4">
        <v>37865</v>
      </c>
      <c r="B238" s="5">
        <v>115.68626999999999</v>
      </c>
      <c r="C238" s="9">
        <v>92.055999999999997</v>
      </c>
      <c r="D238">
        <v>0.41500999470688815</v>
      </c>
      <c r="E238">
        <f t="shared" si="6"/>
        <v>7.9935249109251414</v>
      </c>
      <c r="F238" s="9">
        <v>86.192999999999998</v>
      </c>
      <c r="G238" s="20">
        <v>4.4017573177825625E-3</v>
      </c>
      <c r="H238">
        <f t="shared" si="7"/>
        <v>-17.018543617428957</v>
      </c>
      <c r="I238" s="5">
        <v>138.63636</v>
      </c>
      <c r="J238" s="5">
        <v>91.137370000000004</v>
      </c>
      <c r="K238" s="5">
        <v>74.196680000000001</v>
      </c>
      <c r="L238" s="5">
        <v>45.606960000000001</v>
      </c>
      <c r="M238" s="5">
        <v>90.623729999999995</v>
      </c>
      <c r="N238">
        <v>98.915197660234881</v>
      </c>
    </row>
    <row r="239" spans="1:14" x14ac:dyDescent="0.2">
      <c r="A239" s="4">
        <v>37895</v>
      </c>
      <c r="B239" s="5">
        <v>113.72548999999999</v>
      </c>
      <c r="C239" s="9">
        <v>92.36</v>
      </c>
      <c r="D239">
        <v>0.28589885836785722</v>
      </c>
      <c r="E239">
        <f t="shared" si="6"/>
        <v>5.5067098998003825</v>
      </c>
      <c r="F239" s="9">
        <v>85.971999999999994</v>
      </c>
      <c r="G239" s="20">
        <v>-8.2653992188633063E-2</v>
      </c>
      <c r="H239">
        <f t="shared" si="7"/>
        <v>319.56568017373138</v>
      </c>
      <c r="I239" s="5">
        <v>136.36364</v>
      </c>
      <c r="J239" s="5">
        <v>91.038899999999998</v>
      </c>
      <c r="K239" s="5">
        <v>76.897149999999996</v>
      </c>
      <c r="L239" s="5">
        <v>48.895699999999998</v>
      </c>
      <c r="M239" s="5">
        <v>90.876869999999997</v>
      </c>
      <c r="N239">
        <v>99.10908896676402</v>
      </c>
    </row>
    <row r="240" spans="1:14" x14ac:dyDescent="0.2">
      <c r="A240" s="4">
        <v>37926</v>
      </c>
      <c r="B240" s="5">
        <v>112.74509999999999</v>
      </c>
      <c r="C240" s="9">
        <v>92.544499999999999</v>
      </c>
      <c r="D240">
        <v>0.59495811889843497</v>
      </c>
      <c r="E240">
        <f t="shared" si="6"/>
        <v>11.459513276856672</v>
      </c>
      <c r="F240" s="9">
        <v>86.055999999999997</v>
      </c>
      <c r="G240" s="20">
        <v>0</v>
      </c>
      <c r="H240">
        <f t="shared" si="7"/>
        <v>0</v>
      </c>
      <c r="I240" s="5">
        <v>131.81818000000001</v>
      </c>
      <c r="J240" s="5">
        <v>91.088130000000007</v>
      </c>
      <c r="K240" s="5">
        <v>43.527509999999999</v>
      </c>
      <c r="L240" s="5">
        <v>50.120910000000002</v>
      </c>
      <c r="M240" s="5">
        <v>91.099639999999994</v>
      </c>
      <c r="N240">
        <v>98.728011661821455</v>
      </c>
    </row>
    <row r="241" spans="1:14" x14ac:dyDescent="0.2">
      <c r="A241" s="4">
        <v>37956</v>
      </c>
      <c r="B241" s="5">
        <v>111.76470999999999</v>
      </c>
      <c r="C241" s="9">
        <v>93.220500000000001</v>
      </c>
      <c r="D241">
        <v>0.57672010013836816</v>
      </c>
      <c r="E241">
        <f t="shared" si="6"/>
        <v>11.108230032732685</v>
      </c>
      <c r="F241" s="9">
        <v>86.108999999999995</v>
      </c>
      <c r="G241" s="20">
        <v>4.3438817167489936E-2</v>
      </c>
      <c r="H241">
        <f t="shared" si="7"/>
        <v>-167.94778795911969</v>
      </c>
      <c r="I241" s="5">
        <v>129.54544999999999</v>
      </c>
      <c r="J241" s="5">
        <v>91.334320000000005</v>
      </c>
      <c r="K241" s="5">
        <v>65.998589999999993</v>
      </c>
      <c r="L241" s="5">
        <v>51.82976</v>
      </c>
      <c r="M241" s="5">
        <v>91.322400000000002</v>
      </c>
      <c r="N241">
        <v>98.766913906734771</v>
      </c>
    </row>
    <row r="242" spans="1:14" x14ac:dyDescent="0.2">
      <c r="A242" s="4">
        <v>37987</v>
      </c>
      <c r="B242" s="5">
        <v>111.76470999999999</v>
      </c>
      <c r="C242" s="9">
        <v>93.001000000000005</v>
      </c>
      <c r="D242">
        <v>0.35402443727482891</v>
      </c>
      <c r="E242">
        <f t="shared" si="6"/>
        <v>6.8188795318804178</v>
      </c>
      <c r="F242" s="9">
        <v>86.22</v>
      </c>
      <c r="G242" s="20">
        <v>0.15190604787211712</v>
      </c>
      <c r="H242">
        <f t="shared" si="7"/>
        <v>-587.3153640294762</v>
      </c>
      <c r="I242" s="5">
        <v>129.54544999999999</v>
      </c>
      <c r="J242" s="5">
        <v>91.728210000000004</v>
      </c>
      <c r="K242" s="5">
        <v>81.45429</v>
      </c>
      <c r="L242" s="5">
        <v>55.247459999999997</v>
      </c>
      <c r="M242" s="5">
        <v>91.514780000000002</v>
      </c>
      <c r="N242">
        <v>98.83746716489425</v>
      </c>
    </row>
    <row r="243" spans="1:14" x14ac:dyDescent="0.2">
      <c r="A243" s="4">
        <v>38018</v>
      </c>
      <c r="B243" s="5">
        <v>110.78431</v>
      </c>
      <c r="C243" s="9">
        <v>93.003500000000003</v>
      </c>
      <c r="D243">
        <v>0.3608723206844745</v>
      </c>
      <c r="E243">
        <f t="shared" si="6"/>
        <v>6.9507769013902143</v>
      </c>
      <c r="F243" s="9">
        <v>86.757000000000005</v>
      </c>
      <c r="G243" s="20">
        <v>0</v>
      </c>
      <c r="H243">
        <f t="shared" si="7"/>
        <v>0</v>
      </c>
      <c r="I243" s="5">
        <v>127.27273</v>
      </c>
      <c r="J243" s="5">
        <v>91.925160000000005</v>
      </c>
      <c r="K243" s="5">
        <v>106.86497</v>
      </c>
      <c r="L243" s="5">
        <v>56.005159999999997</v>
      </c>
      <c r="M243" s="5">
        <v>91.737549999999999</v>
      </c>
      <c r="N243">
        <v>99.535834830485399</v>
      </c>
    </row>
    <row r="244" spans="1:14" x14ac:dyDescent="0.2">
      <c r="A244" s="4">
        <v>38047</v>
      </c>
      <c r="B244" s="5">
        <v>109.80392000000001</v>
      </c>
      <c r="C244" s="9">
        <v>93.379500000000007</v>
      </c>
      <c r="D244">
        <v>0.31899515569438275</v>
      </c>
      <c r="E244">
        <f t="shared" si="6"/>
        <v>6.1441790704544941</v>
      </c>
      <c r="F244" s="9">
        <v>86.938999999999993</v>
      </c>
      <c r="G244" s="20">
        <v>-5.6496457069292426E-2</v>
      </c>
      <c r="H244">
        <f t="shared" si="7"/>
        <v>218.43262802782513</v>
      </c>
      <c r="I244" s="5">
        <v>131.81818000000001</v>
      </c>
      <c r="J244" s="5">
        <v>92.122110000000006</v>
      </c>
      <c r="K244" s="5">
        <v>100.32492000000001</v>
      </c>
      <c r="L244" s="5">
        <v>59.261650000000003</v>
      </c>
      <c r="M244" s="5">
        <v>91.929929999999999</v>
      </c>
      <c r="N244">
        <v>99.352680981941049</v>
      </c>
    </row>
    <row r="245" spans="1:14" x14ac:dyDescent="0.2">
      <c r="A245" s="4">
        <v>38078</v>
      </c>
      <c r="B245" s="5">
        <v>107.84314000000001</v>
      </c>
      <c r="C245" s="9">
        <v>93.359000000000009</v>
      </c>
      <c r="D245">
        <v>0.62741603284948022</v>
      </c>
      <c r="E245">
        <f t="shared" si="6"/>
        <v>12.084686518545924</v>
      </c>
      <c r="F245" s="9">
        <v>87.343000000000004</v>
      </c>
      <c r="G245" s="20">
        <v>0</v>
      </c>
      <c r="H245">
        <f t="shared" si="7"/>
        <v>0</v>
      </c>
      <c r="I245" s="5">
        <v>127.27273</v>
      </c>
      <c r="J245" s="5">
        <v>92.269819999999996</v>
      </c>
      <c r="K245" s="5">
        <v>93.132949999999994</v>
      </c>
      <c r="L245" s="5">
        <v>59.148800000000001</v>
      </c>
      <c r="M245" s="5">
        <v>92.253950000000003</v>
      </c>
      <c r="N245">
        <v>99.424439039969513</v>
      </c>
    </row>
    <row r="246" spans="1:14" x14ac:dyDescent="0.2">
      <c r="A246" s="4">
        <v>38108</v>
      </c>
      <c r="B246" s="5">
        <v>105.88235</v>
      </c>
      <c r="C246" s="9">
        <v>93.183500000000009</v>
      </c>
      <c r="D246">
        <v>1.1776700634370063</v>
      </c>
      <c r="E246">
        <f t="shared" si="6"/>
        <v>22.68315247584146</v>
      </c>
      <c r="F246" s="9">
        <v>87.602000000000004</v>
      </c>
      <c r="G246" s="20">
        <v>8.1223086856213236E-3</v>
      </c>
      <c r="H246">
        <f t="shared" si="7"/>
        <v>-31.403336136237396</v>
      </c>
      <c r="I246" s="5">
        <v>127.27273</v>
      </c>
      <c r="J246" s="5">
        <v>92.663709999999995</v>
      </c>
      <c r="K246" s="5">
        <v>118.04953</v>
      </c>
      <c r="L246" s="5">
        <v>64.936319999999995</v>
      </c>
      <c r="M246" s="5">
        <v>92.496960000000001</v>
      </c>
      <c r="N246">
        <v>99.159130234694231</v>
      </c>
    </row>
    <row r="247" spans="1:14" x14ac:dyDescent="0.2">
      <c r="A247" s="4">
        <v>38139</v>
      </c>
      <c r="B247" s="5">
        <v>102.94118</v>
      </c>
      <c r="C247" s="9">
        <v>93.361999999999995</v>
      </c>
      <c r="D247">
        <v>1.578702502968544</v>
      </c>
      <c r="E247">
        <f t="shared" si="6"/>
        <v>30.407455110404541</v>
      </c>
      <c r="F247" s="9">
        <v>88.53</v>
      </c>
      <c r="G247" s="20">
        <v>-1.2489430345164894E-2</v>
      </c>
      <c r="H247">
        <f t="shared" si="7"/>
        <v>48.287967677669499</v>
      </c>
      <c r="I247" s="5">
        <v>127.27273</v>
      </c>
      <c r="J247" s="5">
        <v>93.008369999999999</v>
      </c>
      <c r="K247" s="5">
        <v>99.977429999999998</v>
      </c>
      <c r="L247" s="5">
        <v>61.292920000000002</v>
      </c>
      <c r="M247" s="5">
        <v>92.709599999999995</v>
      </c>
      <c r="N247">
        <v>99.858906699320315</v>
      </c>
    </row>
    <row r="248" spans="1:14" x14ac:dyDescent="0.2">
      <c r="A248" s="4">
        <v>38169</v>
      </c>
      <c r="B248" s="5">
        <v>100</v>
      </c>
      <c r="C248" s="9">
        <v>93.122500000000002</v>
      </c>
      <c r="D248">
        <v>1.5547439783301316</v>
      </c>
      <c r="E248">
        <f t="shared" si="6"/>
        <v>29.945988962676161</v>
      </c>
      <c r="F248" s="9">
        <v>88.48</v>
      </c>
      <c r="G248" s="20">
        <v>0</v>
      </c>
      <c r="H248">
        <f t="shared" si="7"/>
        <v>0</v>
      </c>
      <c r="I248" s="5">
        <v>125</v>
      </c>
      <c r="J248" s="5">
        <v>93.106840000000005</v>
      </c>
      <c r="K248" s="5">
        <v>64.982820000000004</v>
      </c>
      <c r="L248" s="5">
        <v>65.597290000000001</v>
      </c>
      <c r="M248" s="5">
        <v>92.932360000000003</v>
      </c>
      <c r="N248">
        <v>100.32363889680241</v>
      </c>
    </row>
    <row r="249" spans="1:14" x14ac:dyDescent="0.2">
      <c r="A249" s="4">
        <v>38200</v>
      </c>
      <c r="B249" s="5">
        <v>98.03922</v>
      </c>
      <c r="C249" s="9">
        <v>93.524000000000001</v>
      </c>
      <c r="D249">
        <v>1.5322401641049284</v>
      </c>
      <c r="E249">
        <f t="shared" si="6"/>
        <v>29.512542053217889</v>
      </c>
      <c r="F249" s="9">
        <v>88.584999999999994</v>
      </c>
      <c r="G249" s="20">
        <v>5.5548277867117156E-2</v>
      </c>
      <c r="H249">
        <f t="shared" si="7"/>
        <v>-214.76667646703169</v>
      </c>
      <c r="I249" s="5">
        <v>122.72727</v>
      </c>
      <c r="J249" s="5">
        <v>93.156080000000003</v>
      </c>
      <c r="K249" s="5">
        <v>105.41876000000001</v>
      </c>
      <c r="L249" s="5">
        <v>72.448819999999998</v>
      </c>
      <c r="M249" s="5">
        <v>93.144999999999996</v>
      </c>
      <c r="N249">
        <v>101.08764882321675</v>
      </c>
    </row>
    <row r="250" spans="1:14" x14ac:dyDescent="0.2">
      <c r="A250" s="4">
        <v>38231</v>
      </c>
      <c r="B250" s="5">
        <v>98.03922</v>
      </c>
      <c r="C250" s="9">
        <v>93.47399999999999</v>
      </c>
      <c r="D250">
        <v>1.7186293964904678</v>
      </c>
      <c r="E250">
        <f t="shared" si="6"/>
        <v>33.102592874172963</v>
      </c>
      <c r="F250" s="9">
        <v>88.988</v>
      </c>
      <c r="G250" s="20">
        <v>-1.138860246448968E-2</v>
      </c>
      <c r="H250">
        <f t="shared" si="7"/>
        <v>44.03182951510702</v>
      </c>
      <c r="I250" s="5">
        <v>122.72727</v>
      </c>
      <c r="J250" s="5">
        <v>93.451499999999996</v>
      </c>
      <c r="K250" s="5">
        <v>78.759799999999998</v>
      </c>
      <c r="L250" s="5">
        <v>74.077060000000003</v>
      </c>
      <c r="M250" s="5">
        <v>93.367760000000004</v>
      </c>
      <c r="N250">
        <v>100.00923375843244</v>
      </c>
    </row>
    <row r="251" spans="1:14" x14ac:dyDescent="0.2">
      <c r="A251" s="4">
        <v>38261</v>
      </c>
      <c r="B251" s="5">
        <v>98.03922</v>
      </c>
      <c r="C251" s="9">
        <v>93.384999999999991</v>
      </c>
      <c r="D251">
        <v>1.8286814715953816</v>
      </c>
      <c r="E251">
        <f t="shared" si="6"/>
        <v>35.222310507651763</v>
      </c>
      <c r="F251" s="9">
        <v>89.201999999999998</v>
      </c>
      <c r="G251" s="20">
        <v>0</v>
      </c>
      <c r="H251">
        <f t="shared" si="7"/>
        <v>0</v>
      </c>
      <c r="I251" s="5">
        <v>125</v>
      </c>
      <c r="J251" s="5">
        <v>93.943870000000004</v>
      </c>
      <c r="K251" s="5">
        <v>97.613489999999999</v>
      </c>
      <c r="L251" s="5">
        <v>85.652100000000004</v>
      </c>
      <c r="M251" s="5">
        <v>93.610770000000002</v>
      </c>
      <c r="N251">
        <v>99.893139413303217</v>
      </c>
    </row>
    <row r="252" spans="1:14" x14ac:dyDescent="0.2">
      <c r="A252" s="4">
        <v>38292</v>
      </c>
      <c r="B252" s="5">
        <v>100</v>
      </c>
      <c r="C252" s="9">
        <v>93.454000000000008</v>
      </c>
      <c r="D252">
        <v>2.1514038017452002</v>
      </c>
      <c r="E252">
        <f t="shared" si="6"/>
        <v>41.43827884158636</v>
      </c>
      <c r="F252" s="9">
        <v>90.072999999999993</v>
      </c>
      <c r="G252" s="20">
        <v>-2.0739679707764361E-2</v>
      </c>
      <c r="H252">
        <f t="shared" si="7"/>
        <v>80.185961704926839</v>
      </c>
      <c r="I252" s="5">
        <v>122.72727</v>
      </c>
      <c r="J252" s="5">
        <v>94.387</v>
      </c>
      <c r="K252" s="5">
        <v>54.303469999999997</v>
      </c>
      <c r="L252" s="5">
        <v>78.123490000000004</v>
      </c>
      <c r="M252" s="5">
        <v>93.823409999999996</v>
      </c>
      <c r="N252">
        <v>99.259587510463689</v>
      </c>
    </row>
    <row r="253" spans="1:14" x14ac:dyDescent="0.2">
      <c r="A253" s="4">
        <v>38322</v>
      </c>
      <c r="B253" s="5">
        <v>101.96078</v>
      </c>
      <c r="C253" s="9">
        <v>93.795000000000002</v>
      </c>
      <c r="D253">
        <v>2.3890897806906461</v>
      </c>
      <c r="E253">
        <f t="shared" si="6"/>
        <v>46.01635844909061</v>
      </c>
      <c r="F253" s="9">
        <v>90.363</v>
      </c>
      <c r="G253" s="20">
        <v>-4.6920275559551115E-3</v>
      </c>
      <c r="H253">
        <f t="shared" si="7"/>
        <v>18.140817371419008</v>
      </c>
      <c r="I253" s="5">
        <v>122.72727</v>
      </c>
      <c r="J253" s="5">
        <v>94.387</v>
      </c>
      <c r="K253" s="5">
        <v>70.270300000000006</v>
      </c>
      <c r="L253" s="5">
        <v>69.853300000000004</v>
      </c>
      <c r="M253" s="5">
        <v>93.995540000000005</v>
      </c>
      <c r="N253">
        <v>100.27447302313304</v>
      </c>
    </row>
    <row r="254" spans="1:14" x14ac:dyDescent="0.2">
      <c r="A254" s="4">
        <v>38353</v>
      </c>
      <c r="B254" s="5">
        <v>103.92157</v>
      </c>
      <c r="C254" s="9">
        <v>93.791499999999999</v>
      </c>
      <c r="D254">
        <v>2.7551453418805818</v>
      </c>
      <c r="E254">
        <f t="shared" si="6"/>
        <v>53.066969963208599</v>
      </c>
      <c r="F254" s="9">
        <v>89.92</v>
      </c>
      <c r="G254" s="20">
        <v>0</v>
      </c>
      <c r="H254">
        <f t="shared" si="7"/>
        <v>0</v>
      </c>
      <c r="I254" s="5">
        <v>120.45455</v>
      </c>
      <c r="J254" s="5">
        <v>94.337760000000003</v>
      </c>
      <c r="K254" s="5">
        <v>125.54396</v>
      </c>
      <c r="L254" s="5">
        <v>75.511849999999995</v>
      </c>
      <c r="M254" s="5">
        <v>94.248679999999993</v>
      </c>
      <c r="N254">
        <v>99.993622965098666</v>
      </c>
    </row>
    <row r="255" spans="1:14" x14ac:dyDescent="0.2">
      <c r="A255" s="4">
        <v>38384</v>
      </c>
      <c r="B255" s="5">
        <v>106.86275000000001</v>
      </c>
      <c r="C255" s="9">
        <v>93.867999999999995</v>
      </c>
      <c r="D255">
        <v>3.0600856931687397</v>
      </c>
      <c r="E255">
        <f t="shared" si="6"/>
        <v>58.940438856625818</v>
      </c>
      <c r="F255" s="9">
        <v>89.805999999999997</v>
      </c>
      <c r="G255" s="20">
        <v>-1.0651312931712243E-2</v>
      </c>
      <c r="H255">
        <f t="shared" si="7"/>
        <v>41.181242086864238</v>
      </c>
      <c r="I255" s="5">
        <v>122.72727</v>
      </c>
      <c r="J255" s="5">
        <v>94.731660000000005</v>
      </c>
      <c r="K255" s="5">
        <v>121.22348</v>
      </c>
      <c r="L255" s="5">
        <v>77.333550000000002</v>
      </c>
      <c r="M255" s="5">
        <v>94.441069999999996</v>
      </c>
      <c r="N255">
        <v>100.28303545229502</v>
      </c>
    </row>
    <row r="256" spans="1:14" x14ac:dyDescent="0.2">
      <c r="A256" s="4">
        <v>38412</v>
      </c>
      <c r="B256" s="5">
        <v>109.80392000000001</v>
      </c>
      <c r="C256" s="9">
        <v>93.685000000000002</v>
      </c>
      <c r="D256">
        <v>3.3917792019837307</v>
      </c>
      <c r="E256">
        <f t="shared" si="6"/>
        <v>65.329201439024402</v>
      </c>
      <c r="F256" s="9">
        <v>90.35</v>
      </c>
      <c r="G256" s="20">
        <v>8.9663991131943649E-2</v>
      </c>
      <c r="H256">
        <f t="shared" si="7"/>
        <v>-346.66848574933749</v>
      </c>
      <c r="I256" s="5">
        <v>118.18182</v>
      </c>
      <c r="J256" s="5">
        <v>95.076319999999996</v>
      </c>
      <c r="K256" s="5">
        <v>69.607299999999995</v>
      </c>
      <c r="L256" s="5">
        <v>87.554410000000004</v>
      </c>
      <c r="M256" s="5">
        <v>94.714460000000003</v>
      </c>
      <c r="N256">
        <v>100.53475909428897</v>
      </c>
    </row>
    <row r="257" spans="1:14" x14ac:dyDescent="0.2">
      <c r="A257" s="4">
        <v>38443</v>
      </c>
      <c r="B257" s="5">
        <v>110.78431</v>
      </c>
      <c r="C257" s="9">
        <v>94.15</v>
      </c>
      <c r="D257">
        <v>3.4503418677249322</v>
      </c>
      <c r="E257">
        <f t="shared" si="6"/>
        <v>66.457179399610865</v>
      </c>
      <c r="F257" s="9">
        <v>92.016999999999996</v>
      </c>
      <c r="G257" s="20">
        <v>0</v>
      </c>
      <c r="H257">
        <f t="shared" si="7"/>
        <v>0</v>
      </c>
      <c r="I257" s="5">
        <v>118.18182</v>
      </c>
      <c r="J257" s="5">
        <v>95.371740000000003</v>
      </c>
      <c r="K257" s="5">
        <v>76.919579999999996</v>
      </c>
      <c r="L257" s="5">
        <v>85.507009999999994</v>
      </c>
      <c r="M257" s="5">
        <v>94.967600000000004</v>
      </c>
      <c r="N257">
        <v>101.10581435302699</v>
      </c>
    </row>
    <row r="258" spans="1:14" x14ac:dyDescent="0.2">
      <c r="A258" s="4">
        <v>38473</v>
      </c>
      <c r="B258" s="5">
        <v>110.78431</v>
      </c>
      <c r="C258" s="9">
        <v>94.4255</v>
      </c>
      <c r="D258">
        <v>3.6587277579438355</v>
      </c>
      <c r="E258">
        <f t="shared" si="6"/>
        <v>70.470908769494088</v>
      </c>
      <c r="F258" s="9">
        <v>92.343999999999994</v>
      </c>
      <c r="G258" s="20">
        <v>2.8573007539239137E-2</v>
      </c>
      <c r="H258">
        <f t="shared" si="7"/>
        <v>-110.47200924121651</v>
      </c>
      <c r="I258" s="5">
        <v>115.90909000000001</v>
      </c>
      <c r="J258" s="5">
        <v>95.322500000000005</v>
      </c>
      <c r="K258" s="5">
        <v>116.25053</v>
      </c>
      <c r="L258" s="5">
        <v>80.332099999999997</v>
      </c>
      <c r="M258" s="5">
        <v>95.230860000000007</v>
      </c>
      <c r="N258">
        <v>101.49752372580143</v>
      </c>
    </row>
    <row r="259" spans="1:14" x14ac:dyDescent="0.2">
      <c r="A259" s="4">
        <v>38504</v>
      </c>
      <c r="B259" s="5">
        <v>109.80392000000001</v>
      </c>
      <c r="C259" s="9">
        <v>94.511500000000012</v>
      </c>
      <c r="D259">
        <v>3.7813084873271117</v>
      </c>
      <c r="E259">
        <f t="shared" ref="E259:E322" si="8">(D259 / $D$277) * 100</f>
        <v>72.831941338400384</v>
      </c>
      <c r="F259" s="9">
        <v>92.316999999999993</v>
      </c>
      <c r="G259" s="20">
        <v>5.9589675297286628E-2</v>
      </c>
      <c r="H259">
        <f t="shared" ref="H259:H322" si="9">(G259 / G$277) * 100</f>
        <v>-230.39195825229663</v>
      </c>
      <c r="I259" s="5">
        <v>113.63636</v>
      </c>
      <c r="J259" s="5">
        <v>95.371740000000003</v>
      </c>
      <c r="K259" s="5">
        <v>59.612830000000002</v>
      </c>
      <c r="L259" s="5">
        <v>90.698049999999995</v>
      </c>
      <c r="M259" s="5">
        <v>95.524500000000003</v>
      </c>
      <c r="N259">
        <v>101.56474972967098</v>
      </c>
    </row>
    <row r="260" spans="1:14" x14ac:dyDescent="0.2">
      <c r="A260" s="4">
        <v>38534</v>
      </c>
      <c r="B260" s="5">
        <v>109.80392000000001</v>
      </c>
      <c r="C260" s="9">
        <v>94.488</v>
      </c>
      <c r="D260">
        <v>3.9974272190489168</v>
      </c>
      <c r="E260">
        <f t="shared" si="8"/>
        <v>76.994613292737114</v>
      </c>
      <c r="F260" s="9">
        <v>92.811000000000007</v>
      </c>
      <c r="G260" s="20">
        <v>0</v>
      </c>
      <c r="H260">
        <f t="shared" si="9"/>
        <v>0</v>
      </c>
      <c r="I260" s="5">
        <v>113.63636</v>
      </c>
      <c r="J260" s="5">
        <v>95.962580000000003</v>
      </c>
      <c r="K260" s="5">
        <v>111.12067</v>
      </c>
      <c r="L260" s="5">
        <v>94.631630000000001</v>
      </c>
      <c r="M260" s="5">
        <v>95.797889999999995</v>
      </c>
      <c r="N260">
        <v>101.23347736812649</v>
      </c>
    </row>
    <row r="261" spans="1:14" x14ac:dyDescent="0.2">
      <c r="A261" s="4">
        <v>38565</v>
      </c>
      <c r="B261" s="5">
        <v>110.78431</v>
      </c>
      <c r="C261" s="9">
        <v>94.823999999999998</v>
      </c>
      <c r="D261">
        <v>4.2634431543209637</v>
      </c>
      <c r="E261">
        <f t="shared" si="8"/>
        <v>82.118357377025944</v>
      </c>
      <c r="F261" s="9">
        <v>93.328000000000003</v>
      </c>
      <c r="G261" s="20">
        <v>-8.5254084122675655E-3</v>
      </c>
      <c r="H261">
        <f t="shared" si="9"/>
        <v>32.961843292547108</v>
      </c>
      <c r="I261" s="5">
        <v>111.36364</v>
      </c>
      <c r="J261" s="5">
        <v>96.553420000000003</v>
      </c>
      <c r="K261" s="5">
        <v>81.530659999999997</v>
      </c>
      <c r="L261" s="5">
        <v>104.73963999999999</v>
      </c>
      <c r="M261" s="5">
        <v>96.071280000000002</v>
      </c>
      <c r="N261">
        <v>101.26730559130796</v>
      </c>
    </row>
    <row r="262" spans="1:14" x14ac:dyDescent="0.2">
      <c r="A262" s="4">
        <v>38596</v>
      </c>
      <c r="B262" s="5">
        <v>112.74509999999999</v>
      </c>
      <c r="C262" s="9">
        <v>95.401499999999999</v>
      </c>
      <c r="D262">
        <v>4.1581881042545676</v>
      </c>
      <c r="E262">
        <f t="shared" si="8"/>
        <v>80.091035443970711</v>
      </c>
      <c r="F262" s="9">
        <v>96.204999999999998</v>
      </c>
      <c r="G262" s="20">
        <v>2.752839942112062E-2</v>
      </c>
      <c r="H262">
        <f t="shared" si="9"/>
        <v>-106.43323392084605</v>
      </c>
      <c r="I262" s="5">
        <v>113.63636</v>
      </c>
      <c r="J262" s="5">
        <v>97.882819999999995</v>
      </c>
      <c r="K262" s="5">
        <v>147.66605999999999</v>
      </c>
      <c r="L262" s="5">
        <v>105.70692</v>
      </c>
      <c r="M262" s="5">
        <v>96.202920000000006</v>
      </c>
      <c r="N262">
        <v>101.03554476897583</v>
      </c>
    </row>
    <row r="263" spans="1:14" x14ac:dyDescent="0.2">
      <c r="A263" s="4">
        <v>38626</v>
      </c>
      <c r="B263" s="5">
        <v>114.70587999999999</v>
      </c>
      <c r="C263" s="9">
        <v>95.494500000000002</v>
      </c>
      <c r="D263">
        <v>4.5355070104922213</v>
      </c>
      <c r="E263">
        <f t="shared" si="8"/>
        <v>87.35859071936575</v>
      </c>
      <c r="F263" s="9">
        <v>97.073999999999998</v>
      </c>
      <c r="G263" s="20">
        <v>0</v>
      </c>
      <c r="H263">
        <f t="shared" si="9"/>
        <v>0</v>
      </c>
      <c r="I263" s="5">
        <v>113.63636</v>
      </c>
      <c r="J263" s="5">
        <v>98.030529999999999</v>
      </c>
      <c r="K263" s="5">
        <v>122.23511999999999</v>
      </c>
      <c r="L263" s="5">
        <v>100.54812</v>
      </c>
      <c r="M263" s="5">
        <v>96.42568</v>
      </c>
      <c r="N263">
        <v>100.74271245766366</v>
      </c>
    </row>
    <row r="264" spans="1:14" x14ac:dyDescent="0.2">
      <c r="A264" s="4">
        <v>38657</v>
      </c>
      <c r="B264" s="5">
        <v>113.72548999999999</v>
      </c>
      <c r="C264" s="9">
        <v>96.058000000000007</v>
      </c>
      <c r="D264">
        <v>4.8806030663795079</v>
      </c>
      <c r="E264">
        <f t="shared" si="8"/>
        <v>94.005500322941259</v>
      </c>
      <c r="F264" s="9">
        <v>96.665000000000006</v>
      </c>
      <c r="G264" s="20">
        <v>1.5423232651357081E-2</v>
      </c>
      <c r="H264">
        <f t="shared" si="9"/>
        <v>-59.630947062547932</v>
      </c>
      <c r="I264" s="5">
        <v>113.63636</v>
      </c>
      <c r="J264" s="5">
        <v>97.538160000000005</v>
      </c>
      <c r="K264" s="5">
        <v>104.08598000000001</v>
      </c>
      <c r="L264" s="5">
        <v>93.986779999999996</v>
      </c>
      <c r="M264" s="5">
        <v>96.72945</v>
      </c>
      <c r="N264">
        <v>100.90425956219727</v>
      </c>
    </row>
    <row r="265" spans="1:14" x14ac:dyDescent="0.2">
      <c r="A265" s="4">
        <v>38687</v>
      </c>
      <c r="B265" s="5">
        <v>111.76470999999999</v>
      </c>
      <c r="C265" s="9">
        <v>96.186499999999995</v>
      </c>
      <c r="D265">
        <v>4.9153836734707621</v>
      </c>
      <c r="E265">
        <f t="shared" si="8"/>
        <v>94.675411054603032</v>
      </c>
      <c r="F265" s="9">
        <v>95.676000000000002</v>
      </c>
      <c r="G265" s="20">
        <v>-1.8922423701538345E-2</v>
      </c>
      <c r="H265">
        <f t="shared" si="9"/>
        <v>73.159892711742984</v>
      </c>
      <c r="I265" s="5">
        <v>111.36364</v>
      </c>
      <c r="J265" s="5">
        <v>97.538160000000005</v>
      </c>
      <c r="K265" s="5">
        <v>80.897289999999998</v>
      </c>
      <c r="L265" s="5">
        <v>95.808480000000003</v>
      </c>
      <c r="M265" s="5">
        <v>97.002840000000006</v>
      </c>
      <c r="N265">
        <v>100.96747815850358</v>
      </c>
    </row>
    <row r="266" spans="1:14" x14ac:dyDescent="0.2">
      <c r="A266" s="4">
        <v>38718</v>
      </c>
      <c r="B266" s="5">
        <v>107.84314000000001</v>
      </c>
      <c r="C266" s="9">
        <v>96.486999999999995</v>
      </c>
      <c r="D266">
        <v>4.9078794635752399</v>
      </c>
      <c r="E266">
        <f t="shared" si="8"/>
        <v>94.530872153126623</v>
      </c>
      <c r="F266" s="9">
        <v>95.84</v>
      </c>
      <c r="G266" s="20">
        <v>4.1734979976233245E-2</v>
      </c>
      <c r="H266">
        <f t="shared" si="9"/>
        <v>-161.36023088520832</v>
      </c>
      <c r="I266" s="5">
        <v>106.81818</v>
      </c>
      <c r="J266" s="5">
        <v>98.129000000000005</v>
      </c>
      <c r="K266" s="5">
        <v>105.82545</v>
      </c>
      <c r="L266" s="5">
        <v>105.61019</v>
      </c>
      <c r="M266" s="5">
        <v>97.336979999999997</v>
      </c>
      <c r="N266">
        <v>101.16109086650779</v>
      </c>
    </row>
    <row r="267" spans="1:14" x14ac:dyDescent="0.2">
      <c r="A267" s="4">
        <v>38749</v>
      </c>
      <c r="B267" s="5">
        <v>103.92157</v>
      </c>
      <c r="C267" s="9">
        <v>96.64</v>
      </c>
      <c r="D267">
        <v>5.2226389805996556</v>
      </c>
      <c r="E267">
        <f t="shared" si="8"/>
        <v>100.59346840954318</v>
      </c>
      <c r="F267" s="9">
        <v>96.093000000000004</v>
      </c>
      <c r="G267" s="20">
        <v>0</v>
      </c>
      <c r="H267">
        <f t="shared" si="9"/>
        <v>0</v>
      </c>
      <c r="I267" s="5">
        <v>109.09090999999999</v>
      </c>
      <c r="J267" s="5">
        <v>98.178240000000002</v>
      </c>
      <c r="K267" s="5">
        <v>76.022220000000004</v>
      </c>
      <c r="L267" s="5">
        <v>99.355149999999995</v>
      </c>
      <c r="M267" s="5">
        <v>97.590119999999999</v>
      </c>
      <c r="N267">
        <v>100.56607678137502</v>
      </c>
    </row>
    <row r="268" spans="1:14" x14ac:dyDescent="0.2">
      <c r="A268" s="4">
        <v>38777</v>
      </c>
      <c r="B268" s="5">
        <v>101.96078</v>
      </c>
      <c r="C268" s="9">
        <v>96.381499999999988</v>
      </c>
      <c r="D268">
        <v>5.1498062613199407</v>
      </c>
      <c r="E268">
        <f t="shared" si="8"/>
        <v>99.190634349356245</v>
      </c>
      <c r="F268" s="9">
        <v>95.691999999999993</v>
      </c>
      <c r="G268" s="20">
        <v>5.9460364148579345E-2</v>
      </c>
      <c r="H268">
        <f t="shared" si="9"/>
        <v>-229.89200169730796</v>
      </c>
      <c r="I268" s="5">
        <v>106.81818</v>
      </c>
      <c r="J268" s="5">
        <v>98.325950000000006</v>
      </c>
      <c r="K268" s="5">
        <v>113.08493</v>
      </c>
      <c r="L268" s="5">
        <v>101.40255000000001</v>
      </c>
      <c r="M268" s="5">
        <v>97.964759999999998</v>
      </c>
      <c r="N268">
        <v>100.23667926813033</v>
      </c>
    </row>
    <row r="269" spans="1:14" x14ac:dyDescent="0.2">
      <c r="A269" s="4">
        <v>38808</v>
      </c>
      <c r="B269" s="5">
        <v>102.94118</v>
      </c>
      <c r="C269" s="9">
        <v>96.426999999999992</v>
      </c>
      <c r="D269">
        <v>5.118947066853063</v>
      </c>
      <c r="E269">
        <f t="shared" si="8"/>
        <v>98.596254110691646</v>
      </c>
      <c r="F269" s="9">
        <v>97.304000000000002</v>
      </c>
      <c r="G269" s="20">
        <v>0</v>
      </c>
      <c r="H269">
        <f t="shared" si="9"/>
        <v>0</v>
      </c>
      <c r="I269" s="5">
        <v>106.81818</v>
      </c>
      <c r="J269" s="5">
        <v>98.81832</v>
      </c>
      <c r="K269" s="5">
        <v>105.92487</v>
      </c>
      <c r="L269" s="5">
        <v>112.34886</v>
      </c>
      <c r="M269" s="5">
        <v>98.228030000000004</v>
      </c>
      <c r="N269">
        <v>100.07899201101213</v>
      </c>
    </row>
    <row r="270" spans="1:14" x14ac:dyDescent="0.2">
      <c r="A270" s="4">
        <v>38838</v>
      </c>
      <c r="B270" s="5">
        <v>104.90196</v>
      </c>
      <c r="C270" s="9">
        <v>96.624499999999998</v>
      </c>
      <c r="D270">
        <v>5.1355939830544033</v>
      </c>
      <c r="E270">
        <f t="shared" si="8"/>
        <v>98.916891061711297</v>
      </c>
      <c r="F270" s="9">
        <v>98.474999999999994</v>
      </c>
      <c r="G270" s="20">
        <v>6.6646569549582702E-2</v>
      </c>
      <c r="H270">
        <f t="shared" si="9"/>
        <v>-257.67607547318539</v>
      </c>
      <c r="I270" s="5">
        <v>104.54545</v>
      </c>
      <c r="J270" s="5">
        <v>99.113740000000007</v>
      </c>
      <c r="K270" s="5">
        <v>157.33214000000001</v>
      </c>
      <c r="L270" s="5">
        <v>114.36402</v>
      </c>
      <c r="M270" s="5">
        <v>98.471040000000002</v>
      </c>
      <c r="N270">
        <v>100.04007952709844</v>
      </c>
    </row>
    <row r="271" spans="1:14" x14ac:dyDescent="0.2">
      <c r="A271" s="4">
        <v>38869</v>
      </c>
      <c r="B271" s="5">
        <v>106.86275000000001</v>
      </c>
      <c r="C271" s="9">
        <v>96.773499999999999</v>
      </c>
      <c r="D271">
        <v>5.4790934769224995</v>
      </c>
      <c r="E271">
        <f t="shared" si="8"/>
        <v>105.53304921728555</v>
      </c>
      <c r="F271" s="9">
        <v>98.296999999999997</v>
      </c>
      <c r="G271" s="20">
        <v>-3.3348659231238927E-2</v>
      </c>
      <c r="H271">
        <f t="shared" si="9"/>
        <v>128.93614316645753</v>
      </c>
      <c r="I271" s="5">
        <v>104.54545</v>
      </c>
      <c r="J271" s="5">
        <v>99.359920000000002</v>
      </c>
      <c r="K271" s="5">
        <v>117.40143999999999</v>
      </c>
      <c r="L271" s="5">
        <v>114.39626</v>
      </c>
      <c r="M271" s="5">
        <v>98.663430000000005</v>
      </c>
      <c r="N271">
        <v>99.7621124365523</v>
      </c>
    </row>
    <row r="272" spans="1:14" x14ac:dyDescent="0.2">
      <c r="A272" s="4">
        <v>38899</v>
      </c>
      <c r="B272" s="5">
        <v>107.84314000000001</v>
      </c>
      <c r="C272" s="9">
        <v>97.545000000000002</v>
      </c>
      <c r="D272">
        <v>5.5769247446665746</v>
      </c>
      <c r="E272">
        <f t="shared" si="8"/>
        <v>107.4173813677244</v>
      </c>
      <c r="F272" s="9">
        <v>99.194000000000003</v>
      </c>
      <c r="G272" s="20">
        <v>0</v>
      </c>
      <c r="H272">
        <f t="shared" si="9"/>
        <v>0</v>
      </c>
      <c r="I272" s="5">
        <v>106.81818</v>
      </c>
      <c r="J272" s="5">
        <v>99.901529999999994</v>
      </c>
      <c r="K272" s="5">
        <v>112.04837000000001</v>
      </c>
      <c r="L272" s="5">
        <v>119.95808</v>
      </c>
      <c r="M272" s="5">
        <v>98.845690000000005</v>
      </c>
      <c r="N272">
        <v>99.449121496399101</v>
      </c>
    </row>
    <row r="273" spans="1:14" x14ac:dyDescent="0.2">
      <c r="A273" s="4">
        <v>38930</v>
      </c>
      <c r="B273" s="5">
        <v>105.88235</v>
      </c>
      <c r="C273" s="9">
        <v>97.861999999999995</v>
      </c>
      <c r="D273">
        <v>5.3531070816511042</v>
      </c>
      <c r="E273">
        <f t="shared" si="8"/>
        <v>103.10641997489627</v>
      </c>
      <c r="F273" s="9">
        <v>99.881</v>
      </c>
      <c r="G273" s="20">
        <v>-2.4714664897767642E-2</v>
      </c>
      <c r="H273">
        <f t="shared" si="9"/>
        <v>95.554473403973361</v>
      </c>
      <c r="I273" s="5">
        <v>106.81818</v>
      </c>
      <c r="J273" s="5">
        <v>100.34466</v>
      </c>
      <c r="K273" s="5">
        <v>169.55757</v>
      </c>
      <c r="L273" s="5">
        <v>117.76560000000001</v>
      </c>
      <c r="M273" s="5">
        <v>99.078569999999999</v>
      </c>
      <c r="N273">
        <v>99.233275811434808</v>
      </c>
    </row>
    <row r="274" spans="1:14" x14ac:dyDescent="0.2">
      <c r="A274" s="4">
        <v>38961</v>
      </c>
      <c r="B274" s="5">
        <v>102.94118</v>
      </c>
      <c r="C274" s="9">
        <v>97.785499999999999</v>
      </c>
      <c r="D274">
        <v>5.3051533034323253</v>
      </c>
      <c r="E274">
        <f t="shared" si="8"/>
        <v>102.18278024174833</v>
      </c>
      <c r="F274" s="9">
        <v>99.85</v>
      </c>
      <c r="G274" s="20">
        <v>2.7945497675819941E-2</v>
      </c>
      <c r="H274">
        <f t="shared" si="9"/>
        <v>-108.04586367934664</v>
      </c>
      <c r="I274" s="5">
        <v>102.27273</v>
      </c>
      <c r="J274" s="5">
        <v>99.852289999999996</v>
      </c>
      <c r="K274" s="5">
        <v>77.278580000000005</v>
      </c>
      <c r="L274" s="5">
        <v>102.96630999999999</v>
      </c>
      <c r="M274" s="5">
        <v>99.351960000000005</v>
      </c>
      <c r="N274">
        <v>99.438603045850158</v>
      </c>
    </row>
    <row r="275" spans="1:14" x14ac:dyDescent="0.2">
      <c r="A275" s="4">
        <v>38991</v>
      </c>
      <c r="B275" s="5">
        <v>100.98039</v>
      </c>
      <c r="C275" s="9">
        <v>97.932500000000005</v>
      </c>
      <c r="D275">
        <v>5.3018983484559836</v>
      </c>
      <c r="E275">
        <f t="shared" si="8"/>
        <v>102.12008641745696</v>
      </c>
      <c r="F275" s="9">
        <v>98.174000000000007</v>
      </c>
      <c r="G275" s="20">
        <v>-1.4751933059558994E-3</v>
      </c>
      <c r="H275">
        <f t="shared" si="9"/>
        <v>5.7035496982366487</v>
      </c>
      <c r="I275" s="5">
        <v>100</v>
      </c>
      <c r="J275" s="5">
        <v>99.40916</v>
      </c>
      <c r="K275" s="5">
        <v>133.94367</v>
      </c>
      <c r="L275" s="5">
        <v>94.921809999999994</v>
      </c>
      <c r="M275" s="5">
        <v>99.524100000000004</v>
      </c>
      <c r="N275">
        <v>99.785220876806946</v>
      </c>
    </row>
    <row r="276" spans="1:14" x14ac:dyDescent="0.2">
      <c r="A276" s="4">
        <v>39022</v>
      </c>
      <c r="B276" s="5">
        <v>100</v>
      </c>
      <c r="C276" s="9">
        <v>97.742000000000004</v>
      </c>
      <c r="D276">
        <v>5.3235884234912252</v>
      </c>
      <c r="E276">
        <f t="shared" si="8"/>
        <v>102.53785986225432</v>
      </c>
      <c r="F276" s="9">
        <v>97.688999999999993</v>
      </c>
      <c r="G276" s="20">
        <v>0</v>
      </c>
      <c r="H276">
        <f t="shared" si="9"/>
        <v>0</v>
      </c>
      <c r="I276" s="5">
        <v>102.27273</v>
      </c>
      <c r="J276" s="5">
        <v>99.458389999999994</v>
      </c>
      <c r="K276" s="5">
        <v>110.97588</v>
      </c>
      <c r="L276" s="5">
        <v>95.711749999999995</v>
      </c>
      <c r="M276" s="5">
        <v>99.726609999999994</v>
      </c>
      <c r="N276">
        <v>100.0408587908625</v>
      </c>
    </row>
    <row r="277" spans="1:14" x14ac:dyDescent="0.2">
      <c r="A277" s="6">
        <v>39052</v>
      </c>
      <c r="B277" s="7">
        <v>100</v>
      </c>
      <c r="C277" s="19">
        <v>100</v>
      </c>
      <c r="D277" s="3">
        <v>5.1918271267244531</v>
      </c>
      <c r="E277" s="3">
        <f t="shared" si="8"/>
        <v>100</v>
      </c>
      <c r="F277" s="19">
        <v>100</v>
      </c>
      <c r="G277" s="20">
        <v>-2.5864477106458474E-2</v>
      </c>
      <c r="H277">
        <f t="shared" si="9"/>
        <v>100</v>
      </c>
      <c r="I277" s="5">
        <v>100</v>
      </c>
      <c r="J277" s="5">
        <v>100</v>
      </c>
      <c r="K277" s="5">
        <v>100</v>
      </c>
      <c r="L277" s="5">
        <v>100</v>
      </c>
      <c r="M277" s="5">
        <v>100</v>
      </c>
      <c r="N277">
        <v>100</v>
      </c>
    </row>
    <row r="278" spans="1:14" x14ac:dyDescent="0.2">
      <c r="A278" s="4">
        <v>39083</v>
      </c>
      <c r="B278" s="5">
        <v>100.98039</v>
      </c>
      <c r="C278" s="10">
        <v>100.041</v>
      </c>
      <c r="D278">
        <v>5.3079361881857725</v>
      </c>
      <c r="E278">
        <f t="shared" si="8"/>
        <v>102.23638150168095</v>
      </c>
      <c r="F278" s="10">
        <v>100.182</v>
      </c>
      <c r="G278" s="20">
        <v>-6.7807504312519015E-4</v>
      </c>
      <c r="H278">
        <f t="shared" si="9"/>
        <v>2.6216460527472707</v>
      </c>
      <c r="I278" s="5">
        <v>104.54545</v>
      </c>
      <c r="J278" s="5">
        <v>100.16593</v>
      </c>
      <c r="K278" s="5">
        <v>108.76388</v>
      </c>
      <c r="L278" s="5">
        <v>87.973560000000006</v>
      </c>
      <c r="M278" s="5">
        <v>100.20251</v>
      </c>
      <c r="N278">
        <v>99.593158581017448</v>
      </c>
    </row>
    <row r="279" spans="1:14" x14ac:dyDescent="0.2">
      <c r="A279" s="4">
        <v>39114</v>
      </c>
      <c r="B279" s="5">
        <v>101.96078</v>
      </c>
      <c r="C279" s="10">
        <v>100.09450000000001</v>
      </c>
      <c r="D279">
        <v>5.3641132650482506</v>
      </c>
      <c r="E279">
        <f t="shared" si="8"/>
        <v>103.31841053483792</v>
      </c>
      <c r="F279" s="10">
        <v>100.014</v>
      </c>
      <c r="G279" s="20">
        <v>0</v>
      </c>
      <c r="H279">
        <f t="shared" si="9"/>
        <v>0</v>
      </c>
      <c r="I279" s="5">
        <v>102.27273</v>
      </c>
      <c r="J279" s="5">
        <v>100.55441</v>
      </c>
      <c r="K279" s="5">
        <v>163.16087999999999</v>
      </c>
      <c r="L279" s="5">
        <v>95.534419999999997</v>
      </c>
      <c r="M279" s="5">
        <v>100.44552</v>
      </c>
      <c r="N279">
        <v>99.243911480001117</v>
      </c>
    </row>
    <row r="280" spans="1:14" x14ac:dyDescent="0.2">
      <c r="A280" s="4">
        <v>39142</v>
      </c>
      <c r="B280" s="5">
        <v>103.92157</v>
      </c>
      <c r="C280" s="10">
        <v>100.256</v>
      </c>
      <c r="D280">
        <v>5.035763814664044</v>
      </c>
      <c r="E280">
        <f t="shared" si="8"/>
        <v>96.994058002103202</v>
      </c>
      <c r="F280" s="10">
        <v>101.248</v>
      </c>
      <c r="G280" s="20">
        <v>-8.9595102769211482E-2</v>
      </c>
      <c r="H280">
        <f t="shared" si="9"/>
        <v>346.40214221396025</v>
      </c>
      <c r="I280" s="5">
        <v>100</v>
      </c>
      <c r="J280" s="5">
        <v>101.07729999999999</v>
      </c>
      <c r="K280" s="5">
        <v>98.641909999999996</v>
      </c>
      <c r="L280" s="5">
        <v>97.630179999999996</v>
      </c>
      <c r="M280" s="5">
        <v>100.75942000000001</v>
      </c>
      <c r="N280">
        <v>98.773483080262835</v>
      </c>
    </row>
    <row r="281" spans="1:14" x14ac:dyDescent="0.2">
      <c r="A281" s="4">
        <v>39173</v>
      </c>
      <c r="B281" s="5">
        <v>106.86275000000001</v>
      </c>
      <c r="C281" s="10">
        <v>100.38249999999999</v>
      </c>
      <c r="D281">
        <v>4.9927646615740215</v>
      </c>
      <c r="E281">
        <f t="shared" si="8"/>
        <v>96.165849511325675</v>
      </c>
      <c r="F281" s="10">
        <v>101.59</v>
      </c>
      <c r="G281" s="20">
        <v>0</v>
      </c>
      <c r="H281">
        <f t="shared" si="9"/>
        <v>0</v>
      </c>
      <c r="I281" s="5">
        <v>102.27273</v>
      </c>
      <c r="J281" s="5">
        <v>101.3806</v>
      </c>
      <c r="K281" s="5">
        <v>86.893590000000003</v>
      </c>
      <c r="L281" s="5">
        <v>103.12752</v>
      </c>
      <c r="M281" s="5">
        <v>100.92143</v>
      </c>
      <c r="N281">
        <v>98.31444985711218</v>
      </c>
    </row>
    <row r="282" spans="1:14" x14ac:dyDescent="0.2">
      <c r="A282" s="4">
        <v>39203</v>
      </c>
      <c r="B282" s="5">
        <v>108.82353000000001</v>
      </c>
      <c r="C282" s="10">
        <v>100.259</v>
      </c>
      <c r="D282">
        <v>5.1354545323186862</v>
      </c>
      <c r="E282">
        <f t="shared" si="8"/>
        <v>98.914205095242977</v>
      </c>
      <c r="F282" s="10">
        <v>102.121</v>
      </c>
      <c r="G282" s="20">
        <v>5.0274346372702304E-2</v>
      </c>
      <c r="H282">
        <f t="shared" si="9"/>
        <v>-194.37604002498304</v>
      </c>
      <c r="I282" s="5">
        <v>100</v>
      </c>
      <c r="J282" s="5">
        <v>101.79961</v>
      </c>
      <c r="K282" s="5">
        <v>86.349339999999998</v>
      </c>
      <c r="L282" s="5">
        <v>102.30534</v>
      </c>
      <c r="M282" s="5">
        <v>101.20493999999999</v>
      </c>
      <c r="N282">
        <v>98.219766029249428</v>
      </c>
    </row>
    <row r="283" spans="1:14" x14ac:dyDescent="0.2">
      <c r="A283" s="4">
        <v>39234</v>
      </c>
      <c r="B283" s="5">
        <v>110.78431</v>
      </c>
      <c r="C283" s="10">
        <v>100.22749999999999</v>
      </c>
      <c r="D283">
        <v>5.2597036474076857</v>
      </c>
      <c r="E283">
        <f t="shared" si="8"/>
        <v>101.30737251118869</v>
      </c>
      <c r="F283" s="10">
        <v>102.188</v>
      </c>
      <c r="G283" s="20">
        <v>2.4376088335028894E-2</v>
      </c>
      <c r="H283">
        <f t="shared" si="9"/>
        <v>-94.245432585768668</v>
      </c>
      <c r="I283" s="5">
        <v>104.54545</v>
      </c>
      <c r="J283" s="5">
        <v>102.03545</v>
      </c>
      <c r="K283" s="5">
        <v>119.90372000000001</v>
      </c>
      <c r="L283" s="5">
        <v>108.78607</v>
      </c>
      <c r="M283" s="5">
        <v>101.25557000000001</v>
      </c>
      <c r="N283">
        <v>98.288462634895865</v>
      </c>
    </row>
    <row r="284" spans="1:14" x14ac:dyDescent="0.2">
      <c r="A284" s="4">
        <v>39264</v>
      </c>
      <c r="B284" s="5">
        <v>112.74509999999999</v>
      </c>
      <c r="C284" s="10">
        <v>100.3985</v>
      </c>
      <c r="D284">
        <v>5.1691992982048802</v>
      </c>
      <c r="E284">
        <f t="shared" si="8"/>
        <v>99.564164446017514</v>
      </c>
      <c r="F284" s="10">
        <v>102.346</v>
      </c>
      <c r="G284" s="20">
        <v>0</v>
      </c>
      <c r="H284">
        <f t="shared" si="9"/>
        <v>0</v>
      </c>
      <c r="I284" s="5">
        <v>106.81818</v>
      </c>
      <c r="J284" s="5">
        <v>102.21713</v>
      </c>
      <c r="K284" s="5">
        <v>103.76528</v>
      </c>
      <c r="L284" s="5">
        <v>119.5873</v>
      </c>
      <c r="M284" s="5">
        <v>101.36695</v>
      </c>
      <c r="N284">
        <v>98.726427104665746</v>
      </c>
    </row>
    <row r="285" spans="1:14" x14ac:dyDescent="0.2">
      <c r="A285" s="4">
        <v>39295</v>
      </c>
      <c r="B285" s="5">
        <v>114.70587999999999</v>
      </c>
      <c r="C285" s="10">
        <v>100.55199999999999</v>
      </c>
      <c r="D285">
        <v>4.6303397121063892</v>
      </c>
      <c r="E285">
        <f t="shared" si="8"/>
        <v>89.18516736183571</v>
      </c>
      <c r="F285" s="10">
        <v>102.486</v>
      </c>
      <c r="G285" s="20">
        <v>-2.5450106445459624E-2</v>
      </c>
      <c r="H285">
        <f t="shared" si="9"/>
        <v>98.3979159551794</v>
      </c>
      <c r="I285" s="5">
        <v>104.54545</v>
      </c>
      <c r="J285" s="5">
        <v>102.24865</v>
      </c>
      <c r="K285" s="5">
        <v>80.151730000000001</v>
      </c>
      <c r="L285" s="5">
        <v>116.7016</v>
      </c>
      <c r="M285" s="5">
        <v>101.53908</v>
      </c>
      <c r="N285">
        <v>98.463312704960984</v>
      </c>
    </row>
    <row r="286" spans="1:14" x14ac:dyDescent="0.2">
      <c r="A286" s="4">
        <v>39326</v>
      </c>
      <c r="B286" s="5">
        <v>114.70587999999999</v>
      </c>
      <c r="C286" s="10">
        <v>100.90799999999999</v>
      </c>
      <c r="D286">
        <v>4.2009328518922873</v>
      </c>
      <c r="E286">
        <f t="shared" si="8"/>
        <v>80.914343820663277</v>
      </c>
      <c r="F286" s="10">
        <v>102.404</v>
      </c>
      <c r="G286" s="20">
        <v>-0.17271104710870891</v>
      </c>
      <c r="H286">
        <f t="shared" si="9"/>
        <v>667.75387106349888</v>
      </c>
      <c r="I286" s="5">
        <v>106.81818</v>
      </c>
      <c r="J286" s="5">
        <v>102.68192999999999</v>
      </c>
      <c r="K286" s="5">
        <v>135.91425000000001</v>
      </c>
      <c r="L286" s="5">
        <v>128.857</v>
      </c>
      <c r="M286" s="5">
        <v>101.63021000000001</v>
      </c>
      <c r="N286">
        <v>97.968767058441898</v>
      </c>
    </row>
    <row r="287" spans="1:14" x14ac:dyDescent="0.2">
      <c r="A287" s="4">
        <v>39356</v>
      </c>
      <c r="B287" s="5">
        <v>114.70587999999999</v>
      </c>
      <c r="C287" s="10">
        <v>101.22149999999999</v>
      </c>
      <c r="D287">
        <v>4.1405110832598302</v>
      </c>
      <c r="E287">
        <f t="shared" si="8"/>
        <v>79.75055760132939</v>
      </c>
      <c r="F287" s="10">
        <v>103.212</v>
      </c>
      <c r="G287" s="20">
        <v>8.6349574761698258E-2</v>
      </c>
      <c r="H287">
        <f t="shared" si="9"/>
        <v>-333.8539356751055</v>
      </c>
      <c r="I287" s="5">
        <v>106.81818</v>
      </c>
      <c r="J287" s="5">
        <v>102.99852</v>
      </c>
      <c r="K287" s="5">
        <v>126.01621</v>
      </c>
      <c r="L287" s="5">
        <v>138.96502000000001</v>
      </c>
      <c r="M287" s="5">
        <v>101.80235</v>
      </c>
      <c r="N287">
        <v>97.248729101718553</v>
      </c>
    </row>
    <row r="288" spans="1:14" x14ac:dyDescent="0.2">
      <c r="A288" s="4">
        <v>39387</v>
      </c>
      <c r="B288" s="5">
        <v>112.74509999999999</v>
      </c>
      <c r="C288" s="10">
        <v>101.376</v>
      </c>
      <c r="D288">
        <v>3.4925779176088585</v>
      </c>
      <c r="E288">
        <f t="shared" si="8"/>
        <v>67.27068972753608</v>
      </c>
      <c r="F288" s="10">
        <v>104.18899999999999</v>
      </c>
      <c r="G288" s="20">
        <v>0</v>
      </c>
      <c r="H288">
        <f t="shared" si="9"/>
        <v>0</v>
      </c>
      <c r="I288" s="5">
        <v>106.81818</v>
      </c>
      <c r="J288" s="5">
        <v>103.80798</v>
      </c>
      <c r="K288" s="5">
        <v>127.51054999999999</v>
      </c>
      <c r="L288" s="5">
        <v>152.53908999999999</v>
      </c>
      <c r="M288" s="5">
        <v>101.95423</v>
      </c>
      <c r="N288">
        <v>96.853616988856402</v>
      </c>
    </row>
    <row r="289" spans="1:14" x14ac:dyDescent="0.2">
      <c r="A289" s="4">
        <v>39417</v>
      </c>
      <c r="B289" s="5">
        <v>109.80392000000001</v>
      </c>
      <c r="C289" s="10">
        <v>101.191</v>
      </c>
      <c r="D289">
        <v>3.1073543268629082</v>
      </c>
      <c r="E289">
        <f t="shared" si="8"/>
        <v>59.850881992354623</v>
      </c>
      <c r="F289" s="10">
        <v>104.248</v>
      </c>
      <c r="G289" s="20">
        <v>8.1600403916868389E-2</v>
      </c>
      <c r="H289">
        <f t="shared" si="9"/>
        <v>-315.49218482554363</v>
      </c>
      <c r="I289" s="5">
        <v>113.63636</v>
      </c>
      <c r="J289" s="5">
        <v>104.10881000000001</v>
      </c>
      <c r="K289" s="5">
        <v>109.43324</v>
      </c>
      <c r="L289" s="5">
        <v>147.88005999999999</v>
      </c>
      <c r="M289" s="5">
        <v>101.99473</v>
      </c>
      <c r="N289">
        <v>96.485228104102902</v>
      </c>
    </row>
    <row r="290" spans="1:14" x14ac:dyDescent="0.2">
      <c r="A290" s="4">
        <v>39448</v>
      </c>
      <c r="B290" s="5">
        <v>106.86275000000001</v>
      </c>
      <c r="C290" s="10">
        <v>101.60599999999999</v>
      </c>
      <c r="D290">
        <v>2.288454974658638</v>
      </c>
      <c r="E290">
        <f t="shared" si="8"/>
        <v>44.078027230125336</v>
      </c>
      <c r="F290" s="10">
        <v>105.30200000000001</v>
      </c>
      <c r="G290" s="20">
        <v>-0.19037759760753892</v>
      </c>
      <c r="H290">
        <f t="shared" si="9"/>
        <v>736.05817285206513</v>
      </c>
      <c r="I290" s="5">
        <v>113.63636</v>
      </c>
      <c r="J290" s="5">
        <v>104.46775</v>
      </c>
      <c r="K290" s="5">
        <v>120.47511</v>
      </c>
      <c r="L290" s="5">
        <v>149.84684999999999</v>
      </c>
      <c r="M290" s="5">
        <v>102.12636999999999</v>
      </c>
      <c r="N290">
        <v>96.470249138317513</v>
      </c>
    </row>
    <row r="291" spans="1:14" x14ac:dyDescent="0.2">
      <c r="A291" s="4">
        <v>39479</v>
      </c>
      <c r="B291" s="5">
        <v>104.90196</v>
      </c>
      <c r="C291" s="10">
        <v>102.00800000000001</v>
      </c>
      <c r="D291">
        <v>1.4846916205738729</v>
      </c>
      <c r="E291">
        <f t="shared" si="8"/>
        <v>28.596707562383177</v>
      </c>
      <c r="F291" s="10">
        <v>105.09099999999999</v>
      </c>
      <c r="G291" s="20">
        <v>0</v>
      </c>
      <c r="H291">
        <f t="shared" si="9"/>
        <v>0</v>
      </c>
      <c r="I291" s="5">
        <v>111.36364</v>
      </c>
      <c r="J291" s="5">
        <v>104.72033</v>
      </c>
      <c r="K291" s="5">
        <v>104.84041999999999</v>
      </c>
      <c r="L291" s="5">
        <v>153.71593999999999</v>
      </c>
      <c r="M291" s="5">
        <v>102.27825</v>
      </c>
      <c r="N291">
        <v>96.239839074209087</v>
      </c>
    </row>
    <row r="292" spans="1:14" x14ac:dyDescent="0.2">
      <c r="A292" s="4">
        <v>39508</v>
      </c>
      <c r="B292" s="5">
        <v>103.92157</v>
      </c>
      <c r="C292" s="10">
        <v>102.15299999999999</v>
      </c>
      <c r="D292">
        <v>1.2218822368962567</v>
      </c>
      <c r="E292">
        <f t="shared" si="8"/>
        <v>23.534725002817027</v>
      </c>
      <c r="F292" s="10">
        <v>105.57299999999999</v>
      </c>
      <c r="G292" s="20">
        <v>0.12299196567953055</v>
      </c>
      <c r="H292">
        <f t="shared" si="9"/>
        <v>-475.5246555857064</v>
      </c>
      <c r="I292" s="5">
        <v>115.90909000000001</v>
      </c>
      <c r="J292" s="5">
        <v>105.09502999999999</v>
      </c>
      <c r="K292" s="5">
        <v>111.55508</v>
      </c>
      <c r="L292" s="5">
        <v>170.17572000000001</v>
      </c>
      <c r="M292" s="5">
        <v>102.26812</v>
      </c>
      <c r="N292">
        <v>96.125165002467313</v>
      </c>
    </row>
    <row r="293" spans="1:14" x14ac:dyDescent="0.2">
      <c r="A293" s="4">
        <v>39539</v>
      </c>
      <c r="B293" s="5">
        <v>105.88235</v>
      </c>
      <c r="C293" s="10">
        <v>102.717</v>
      </c>
      <c r="D293">
        <v>1.7194700731235251</v>
      </c>
      <c r="E293">
        <f t="shared" si="8"/>
        <v>33.118785182054907</v>
      </c>
      <c r="F293" s="10">
        <v>106.172</v>
      </c>
      <c r="G293" s="20">
        <v>-6.5172174217216994E-2</v>
      </c>
      <c r="H293">
        <f t="shared" si="9"/>
        <v>251.97561098555212</v>
      </c>
      <c r="I293" s="5">
        <v>113.63636</v>
      </c>
      <c r="J293" s="5">
        <v>105.33826000000001</v>
      </c>
      <c r="K293" s="5">
        <v>82.222549999999998</v>
      </c>
      <c r="L293" s="5">
        <v>181.47669999999999</v>
      </c>
      <c r="M293" s="5">
        <v>102.35925</v>
      </c>
      <c r="N293">
        <v>95.813746265782257</v>
      </c>
    </row>
    <row r="294" spans="1:14" x14ac:dyDescent="0.2">
      <c r="A294" s="4">
        <v>39569</v>
      </c>
      <c r="B294" s="5">
        <v>108.82353000000001</v>
      </c>
      <c r="C294" s="10">
        <v>103.027</v>
      </c>
      <c r="D294">
        <v>2.23139783456564</v>
      </c>
      <c r="E294">
        <f t="shared" si="8"/>
        <v>42.979047262181069</v>
      </c>
      <c r="F294" s="10">
        <v>107.024</v>
      </c>
      <c r="G294" s="20">
        <v>0</v>
      </c>
      <c r="H294">
        <f t="shared" si="9"/>
        <v>0</v>
      </c>
      <c r="I294" s="5">
        <v>122.72727</v>
      </c>
      <c r="J294" s="5">
        <v>105.9616</v>
      </c>
      <c r="K294" s="5">
        <v>90.358729999999994</v>
      </c>
      <c r="L294" s="5">
        <v>202.14411999999999</v>
      </c>
      <c r="M294" s="5">
        <v>102.23775000000001</v>
      </c>
      <c r="N294">
        <v>95.648361709539657</v>
      </c>
    </row>
    <row r="295" spans="1:14" x14ac:dyDescent="0.2">
      <c r="A295" s="4">
        <v>39600</v>
      </c>
      <c r="B295" s="5">
        <v>112.74509999999999</v>
      </c>
      <c r="C295" s="10">
        <v>103.47450000000001</v>
      </c>
      <c r="D295">
        <v>2.6842106762928593</v>
      </c>
      <c r="E295">
        <f t="shared" si="8"/>
        <v>51.700694394775425</v>
      </c>
      <c r="F295" s="10">
        <v>108.768</v>
      </c>
      <c r="G295" s="20">
        <v>-4.9778071641789809E-2</v>
      </c>
      <c r="H295">
        <f t="shared" si="9"/>
        <v>192.45728972947228</v>
      </c>
      <c r="I295" s="5">
        <v>127.27273</v>
      </c>
      <c r="J295" s="5">
        <v>107.07189</v>
      </c>
      <c r="K295" s="5">
        <v>148.72984</v>
      </c>
      <c r="L295" s="5">
        <v>215.91166000000001</v>
      </c>
      <c r="M295" s="5">
        <v>102.16687</v>
      </c>
      <c r="N295">
        <v>95.538053692331118</v>
      </c>
    </row>
    <row r="296" spans="1:14" x14ac:dyDescent="0.2">
      <c r="A296" s="4">
        <v>39630</v>
      </c>
      <c r="B296" s="5">
        <v>116.66667</v>
      </c>
      <c r="C296" s="10">
        <v>103.7405</v>
      </c>
      <c r="D296">
        <v>2.5763708420223139</v>
      </c>
      <c r="E296">
        <f t="shared" si="8"/>
        <v>49.623586824774684</v>
      </c>
      <c r="F296" s="10">
        <v>109.73099999999999</v>
      </c>
      <c r="G296" s="20">
        <v>0</v>
      </c>
      <c r="H296">
        <f t="shared" si="9"/>
        <v>0</v>
      </c>
      <c r="I296" s="5">
        <v>131.81818000000001</v>
      </c>
      <c r="J296" s="5">
        <v>107.83653</v>
      </c>
      <c r="K296" s="5">
        <v>146.36069000000001</v>
      </c>
      <c r="L296" s="5">
        <v>215.12172000000001</v>
      </c>
      <c r="M296" s="5">
        <v>102.09599</v>
      </c>
      <c r="N296">
        <v>94.984147419199601</v>
      </c>
    </row>
    <row r="297" spans="1:14" x14ac:dyDescent="0.2">
      <c r="A297" s="4">
        <v>39661</v>
      </c>
      <c r="B297" s="5">
        <v>119.60784</v>
      </c>
      <c r="C297" s="10">
        <v>104.489</v>
      </c>
      <c r="D297">
        <v>2.5338883349558596</v>
      </c>
      <c r="E297">
        <f t="shared" si="8"/>
        <v>48.805329474721958</v>
      </c>
      <c r="F297" s="10">
        <v>109.92100000000001</v>
      </c>
      <c r="G297" s="20">
        <v>-1.9129785491142772E-2</v>
      </c>
      <c r="H297">
        <f t="shared" si="9"/>
        <v>73.961616979165541</v>
      </c>
      <c r="I297" s="5">
        <v>138.63636</v>
      </c>
      <c r="J297" s="5">
        <v>107.67601999999999</v>
      </c>
      <c r="K297" s="5">
        <v>107.87309</v>
      </c>
      <c r="L297" s="5">
        <v>187.98967999999999</v>
      </c>
      <c r="M297" s="5">
        <v>101.96436</v>
      </c>
      <c r="N297">
        <v>94.740083389272712</v>
      </c>
    </row>
    <row r="298" spans="1:14" x14ac:dyDescent="0.2">
      <c r="A298" s="4">
        <v>39692</v>
      </c>
      <c r="B298" s="5">
        <v>122.54902</v>
      </c>
      <c r="C298" s="10">
        <v>104.10899999999999</v>
      </c>
      <c r="D298">
        <v>1.8535733866612858</v>
      </c>
      <c r="E298">
        <f t="shared" si="8"/>
        <v>35.701754727544511</v>
      </c>
      <c r="F298" s="10">
        <v>109.852</v>
      </c>
      <c r="G298" s="20">
        <v>0.1030268578436731</v>
      </c>
      <c r="H298">
        <f t="shared" si="9"/>
        <v>-398.33342626496335</v>
      </c>
      <c r="I298" s="5">
        <v>138.63636</v>
      </c>
      <c r="J298" s="5">
        <v>107.76809</v>
      </c>
      <c r="K298" s="5">
        <v>116.46801000000001</v>
      </c>
      <c r="L298" s="5">
        <v>167.49959999999999</v>
      </c>
      <c r="M298" s="5">
        <v>101.83273</v>
      </c>
      <c r="N298">
        <v>93.863123247579239</v>
      </c>
    </row>
    <row r="299" spans="1:14" x14ac:dyDescent="0.2">
      <c r="A299" s="4">
        <v>39722</v>
      </c>
      <c r="B299" s="5">
        <v>124.5098</v>
      </c>
      <c r="C299" s="10">
        <v>104.33150000000001</v>
      </c>
      <c r="D299">
        <v>0.92315718612194275</v>
      </c>
      <c r="E299">
        <f t="shared" si="8"/>
        <v>17.780969273227068</v>
      </c>
      <c r="F299" s="10">
        <v>109.548</v>
      </c>
      <c r="G299" s="20">
        <v>-3.0404208179908802E-2</v>
      </c>
      <c r="H299">
        <f t="shared" si="9"/>
        <v>117.55199246737038</v>
      </c>
      <c r="I299" s="5">
        <v>147.72727</v>
      </c>
      <c r="J299" s="5">
        <v>106.84146</v>
      </c>
      <c r="K299" s="5">
        <v>80.780500000000004</v>
      </c>
      <c r="L299" s="5">
        <v>123.56923999999999</v>
      </c>
      <c r="M299" s="5">
        <v>101.51882999999999</v>
      </c>
      <c r="N299">
        <v>93.502754375929811</v>
      </c>
    </row>
    <row r="300" spans="1:14" x14ac:dyDescent="0.2">
      <c r="A300" s="4">
        <v>39753</v>
      </c>
      <c r="B300" s="5">
        <v>128.43136999999999</v>
      </c>
      <c r="C300" s="10">
        <v>104.709</v>
      </c>
      <c r="D300">
        <v>0.65469890448901991</v>
      </c>
      <c r="E300">
        <f t="shared" si="8"/>
        <v>12.610183053264956</v>
      </c>
      <c r="F300" s="10">
        <v>107.471</v>
      </c>
      <c r="G300" s="20">
        <v>0</v>
      </c>
      <c r="H300">
        <f t="shared" si="9"/>
        <v>0</v>
      </c>
      <c r="I300" s="5">
        <v>154.54544999999999</v>
      </c>
      <c r="J300" s="5">
        <v>104.94978</v>
      </c>
      <c r="K300" s="5">
        <v>71.040930000000003</v>
      </c>
      <c r="L300" s="5">
        <v>92.600350000000006</v>
      </c>
      <c r="M300" s="5">
        <v>101.15431</v>
      </c>
      <c r="N300">
        <v>92.810075887669086</v>
      </c>
    </row>
    <row r="301" spans="1:14" x14ac:dyDescent="0.2">
      <c r="A301" s="4">
        <v>39783</v>
      </c>
      <c r="B301" s="5">
        <v>132.35293999999999</v>
      </c>
      <c r="C301" s="10">
        <v>104.45150000000001</v>
      </c>
      <c r="D301">
        <v>1.0088297026007798</v>
      </c>
      <c r="E301">
        <f t="shared" si="8"/>
        <v>19.431111205685596</v>
      </c>
      <c r="F301" s="10">
        <v>105.666</v>
      </c>
      <c r="G301" s="20">
        <v>-0.24953991604324174</v>
      </c>
      <c r="H301">
        <f t="shared" si="9"/>
        <v>964.79783842577865</v>
      </c>
      <c r="I301" s="5">
        <v>165.90908999999999</v>
      </c>
      <c r="J301" s="5">
        <v>104.08566999999999</v>
      </c>
      <c r="K301" s="5">
        <v>13.33619</v>
      </c>
      <c r="L301" s="5">
        <v>66.129289999999997</v>
      </c>
      <c r="M301" s="5">
        <v>100.74929</v>
      </c>
      <c r="N301">
        <v>92.79004887400643</v>
      </c>
    </row>
    <row r="302" spans="1:14" x14ac:dyDescent="0.2">
      <c r="A302" s="4">
        <v>39814</v>
      </c>
      <c r="B302" s="5">
        <v>137.25489999999999</v>
      </c>
      <c r="C302" s="10">
        <v>105.101</v>
      </c>
      <c r="D302">
        <v>0.71266639582492397</v>
      </c>
      <c r="E302">
        <f t="shared" si="8"/>
        <v>13.726697334673165</v>
      </c>
      <c r="F302" s="10">
        <v>104.876</v>
      </c>
      <c r="G302" s="20">
        <v>-6.3298772269527103E-4</v>
      </c>
      <c r="H302">
        <f t="shared" si="9"/>
        <v>2.4473246456515882</v>
      </c>
      <c r="I302" s="5">
        <v>177.27273</v>
      </c>
      <c r="J302" s="5">
        <v>104.34909</v>
      </c>
      <c r="K302" s="5">
        <v>88.189310000000006</v>
      </c>
      <c r="L302" s="5">
        <v>67.290019999999998</v>
      </c>
      <c r="M302" s="5">
        <v>100.26326</v>
      </c>
      <c r="N302">
        <v>92.700406335547513</v>
      </c>
    </row>
    <row r="303" spans="1:14" x14ac:dyDescent="0.2">
      <c r="A303" s="4">
        <v>39845</v>
      </c>
      <c r="B303" s="5">
        <v>141.17646999999999</v>
      </c>
      <c r="C303" s="10">
        <v>105.50749999999999</v>
      </c>
      <c r="D303">
        <v>0.52794454168893767</v>
      </c>
      <c r="E303">
        <f t="shared" si="8"/>
        <v>10.16876195610196</v>
      </c>
      <c r="F303" s="10">
        <v>105.94799999999999</v>
      </c>
      <c r="G303" s="20">
        <v>0</v>
      </c>
      <c r="H303">
        <f t="shared" si="9"/>
        <v>0</v>
      </c>
      <c r="I303" s="5">
        <v>188.63636</v>
      </c>
      <c r="J303" s="5">
        <v>104.72920000000001</v>
      </c>
      <c r="K303" s="5">
        <v>78.647570000000002</v>
      </c>
      <c r="L303" s="5">
        <v>63.130740000000003</v>
      </c>
      <c r="M303" s="5">
        <v>99.787360000000007</v>
      </c>
      <c r="N303">
        <v>92.005856332554131</v>
      </c>
    </row>
    <row r="304" spans="1:14" x14ac:dyDescent="0.2">
      <c r="A304" s="4">
        <v>39873</v>
      </c>
      <c r="B304" s="5">
        <v>144.11765</v>
      </c>
      <c r="C304" s="10">
        <v>106.63</v>
      </c>
      <c r="D304">
        <v>0.37478733878059156</v>
      </c>
      <c r="E304">
        <f t="shared" si="8"/>
        <v>7.2187946484467513</v>
      </c>
      <c r="F304" s="10">
        <v>106.63200000000001</v>
      </c>
      <c r="G304" s="20">
        <v>-5.8124258509896706E-2</v>
      </c>
      <c r="H304">
        <f t="shared" si="9"/>
        <v>224.72620757286768</v>
      </c>
      <c r="I304" s="5">
        <v>197.72727</v>
      </c>
      <c r="J304" s="5">
        <v>104.6258</v>
      </c>
      <c r="K304" s="5">
        <v>70.014939999999996</v>
      </c>
      <c r="L304" s="5">
        <v>77.349670000000003</v>
      </c>
      <c r="M304" s="5">
        <v>99.220330000000004</v>
      </c>
      <c r="N304">
        <v>91.228242023518391</v>
      </c>
    </row>
    <row r="305" spans="1:14" x14ac:dyDescent="0.2">
      <c r="A305" s="4">
        <v>39904</v>
      </c>
      <c r="B305" s="5">
        <v>147.05882</v>
      </c>
      <c r="C305" s="10">
        <v>106.5805</v>
      </c>
      <c r="D305">
        <v>0.11467955647861006</v>
      </c>
      <c r="E305">
        <f t="shared" si="8"/>
        <v>2.2088477462646545</v>
      </c>
      <c r="F305" s="10">
        <v>106.73099999999999</v>
      </c>
      <c r="G305" s="20">
        <v>2.6115293700357787E-2</v>
      </c>
      <c r="H305">
        <f t="shared" si="9"/>
        <v>-100.96973386651872</v>
      </c>
      <c r="I305" s="5">
        <v>204.54544999999999</v>
      </c>
      <c r="J305" s="5">
        <v>104.73117000000001</v>
      </c>
      <c r="K305" s="5">
        <v>68.28613</v>
      </c>
      <c r="L305" s="5">
        <v>80.267610000000005</v>
      </c>
      <c r="M305" s="5">
        <v>98.764679999999998</v>
      </c>
      <c r="N305">
        <v>90.611481764983864</v>
      </c>
    </row>
    <row r="306" spans="1:14" x14ac:dyDescent="0.2">
      <c r="A306" s="4">
        <v>39934</v>
      </c>
      <c r="B306" s="5">
        <v>150</v>
      </c>
      <c r="C306" s="10">
        <v>106.184</v>
      </c>
      <c r="D306">
        <v>-0.38162198407280057</v>
      </c>
      <c r="E306">
        <f t="shared" si="8"/>
        <v>-7.3504370380214787</v>
      </c>
      <c r="F306" s="10">
        <v>106.96599999999999</v>
      </c>
      <c r="G306" s="20">
        <v>0</v>
      </c>
      <c r="H306">
        <f t="shared" si="9"/>
        <v>0</v>
      </c>
      <c r="I306" s="5">
        <v>213.63636</v>
      </c>
      <c r="J306" s="5">
        <v>104.88527999999999</v>
      </c>
      <c r="K306" s="5">
        <v>47.468240000000002</v>
      </c>
      <c r="L306" s="5">
        <v>95.37321</v>
      </c>
      <c r="M306" s="5">
        <v>98.440659999999994</v>
      </c>
      <c r="N306">
        <v>90.315018119956648</v>
      </c>
    </row>
    <row r="307" spans="1:14" x14ac:dyDescent="0.2">
      <c r="A307" s="4">
        <v>39965</v>
      </c>
      <c r="B307" s="5">
        <v>152.94118</v>
      </c>
      <c r="C307" s="10">
        <v>106.977</v>
      </c>
      <c r="D307">
        <v>-0.1774593756162044</v>
      </c>
      <c r="E307">
        <f t="shared" si="8"/>
        <v>-3.4180524752595973</v>
      </c>
      <c r="F307" s="10">
        <v>108.374</v>
      </c>
      <c r="G307" s="20">
        <v>5.4919438075820379E-2</v>
      </c>
      <c r="H307">
        <f t="shared" si="9"/>
        <v>-212.33538899615624</v>
      </c>
      <c r="I307" s="5">
        <v>215.90908999999999</v>
      </c>
      <c r="J307" s="5">
        <v>105.75579</v>
      </c>
      <c r="K307" s="5">
        <v>27.7319</v>
      </c>
      <c r="L307" s="5">
        <v>112.33274</v>
      </c>
      <c r="M307" s="5">
        <v>98.197649999999996</v>
      </c>
      <c r="N307">
        <v>90.166904819537152</v>
      </c>
    </row>
    <row r="308" spans="1:14" x14ac:dyDescent="0.2">
      <c r="A308" s="4">
        <v>39995</v>
      </c>
      <c r="B308" s="5">
        <v>154.90196</v>
      </c>
      <c r="C308" s="10">
        <v>107.259</v>
      </c>
      <c r="D308">
        <v>-0.39205482094161803</v>
      </c>
      <c r="E308">
        <f t="shared" si="8"/>
        <v>-7.5513843464384989</v>
      </c>
      <c r="F308" s="10">
        <v>108.371</v>
      </c>
      <c r="G308" s="20">
        <v>0</v>
      </c>
      <c r="H308">
        <f t="shared" si="9"/>
        <v>0</v>
      </c>
      <c r="I308" s="5">
        <v>215.90908999999999</v>
      </c>
      <c r="J308" s="5">
        <v>105.72427</v>
      </c>
      <c r="K308" s="5">
        <v>4.6167800000000003</v>
      </c>
      <c r="L308" s="5">
        <v>103.32097</v>
      </c>
      <c r="M308" s="5">
        <v>98.066019999999995</v>
      </c>
      <c r="N308">
        <v>89.909971386677839</v>
      </c>
    </row>
    <row r="309" spans="1:14" x14ac:dyDescent="0.2">
      <c r="A309" s="4">
        <v>40026</v>
      </c>
      <c r="B309" s="5">
        <v>155.88235</v>
      </c>
      <c r="C309" s="10">
        <v>107.27250000000001</v>
      </c>
      <c r="D309">
        <v>-0.28517181524327623</v>
      </c>
      <c r="E309">
        <f t="shared" si="8"/>
        <v>-5.4927062916902702</v>
      </c>
      <c r="F309" s="10">
        <v>108.55</v>
      </c>
      <c r="G309" s="20">
        <v>-5.9787763112546209E-3</v>
      </c>
      <c r="H309">
        <f t="shared" si="9"/>
        <v>23.115782649097877</v>
      </c>
      <c r="I309" s="5">
        <v>218.18181999999999</v>
      </c>
      <c r="J309" s="5">
        <v>106.07829</v>
      </c>
      <c r="K309" s="5">
        <v>59.63964</v>
      </c>
      <c r="L309" s="5">
        <v>114.55747</v>
      </c>
      <c r="M309" s="5">
        <v>97.964759999999998</v>
      </c>
      <c r="N309">
        <v>89.491533626696807</v>
      </c>
    </row>
    <row r="310" spans="1:14" x14ac:dyDescent="0.2">
      <c r="A310" s="4">
        <v>40057</v>
      </c>
      <c r="B310" s="5">
        <v>156.86275000000001</v>
      </c>
      <c r="C310" s="10">
        <v>107.571</v>
      </c>
      <c r="D310">
        <v>-0.33341414466344604</v>
      </c>
      <c r="E310">
        <f t="shared" si="8"/>
        <v>-6.4219038216281774</v>
      </c>
      <c r="F310" s="10">
        <v>108.986</v>
      </c>
      <c r="G310" s="20">
        <v>-9.863094798915456E-2</v>
      </c>
      <c r="H310">
        <f t="shared" si="9"/>
        <v>381.33749073367494</v>
      </c>
      <c r="I310" s="5">
        <v>222.72727</v>
      </c>
      <c r="J310" s="5">
        <v>106.28310999999999</v>
      </c>
      <c r="K310" s="5">
        <v>33.54813</v>
      </c>
      <c r="L310" s="5">
        <v>111.97808000000001</v>
      </c>
      <c r="M310" s="5">
        <v>97.823009999999996</v>
      </c>
      <c r="N310">
        <v>88.990011106132428</v>
      </c>
    </row>
    <row r="311" spans="1:14" x14ac:dyDescent="0.2">
      <c r="A311" s="4">
        <v>40087</v>
      </c>
      <c r="B311" s="5">
        <v>156.86275000000001</v>
      </c>
      <c r="C311" s="10">
        <v>107.54349999999999</v>
      </c>
      <c r="D311">
        <v>-0.43508844932088908</v>
      </c>
      <c r="E311">
        <f t="shared" si="8"/>
        <v>-8.3802568672079101</v>
      </c>
      <c r="F311" s="10">
        <v>108.99299999999999</v>
      </c>
      <c r="G311" s="20">
        <v>0</v>
      </c>
      <c r="H311">
        <f t="shared" si="9"/>
        <v>0</v>
      </c>
      <c r="I311" s="5">
        <v>227.27273</v>
      </c>
      <c r="J311" s="5">
        <v>106.60217</v>
      </c>
      <c r="K311" s="5">
        <v>43.674379999999999</v>
      </c>
      <c r="L311" s="5">
        <v>122.23117999999999</v>
      </c>
      <c r="M311" s="5">
        <v>97.731880000000004</v>
      </c>
      <c r="N311">
        <v>88.209856499647742</v>
      </c>
    </row>
    <row r="312" spans="1:14" x14ac:dyDescent="0.2">
      <c r="A312" s="4">
        <v>40118</v>
      </c>
      <c r="B312" s="5">
        <v>155.88235</v>
      </c>
      <c r="C312" s="10">
        <v>107.664</v>
      </c>
      <c r="D312">
        <v>-0.81520424140858494</v>
      </c>
      <c r="E312">
        <f t="shared" si="8"/>
        <v>-15.701683078244189</v>
      </c>
      <c r="F312" s="10">
        <v>109.485</v>
      </c>
      <c r="G312" s="20">
        <v>-1.2989928458868169E-2</v>
      </c>
      <c r="H312">
        <f t="shared" si="9"/>
        <v>50.223046866176645</v>
      </c>
      <c r="I312" s="5">
        <v>225</v>
      </c>
      <c r="J312" s="5">
        <v>106.95913</v>
      </c>
      <c r="K312" s="5">
        <v>18.932590000000001</v>
      </c>
      <c r="L312" s="5">
        <v>125.87457999999999</v>
      </c>
      <c r="M312" s="5">
        <v>97.853380000000001</v>
      </c>
      <c r="N312">
        <v>87.90840109833043</v>
      </c>
    </row>
    <row r="313" spans="1:14" x14ac:dyDescent="0.2">
      <c r="A313" s="4">
        <v>40148</v>
      </c>
      <c r="B313" s="5">
        <v>155.88235</v>
      </c>
      <c r="C313" s="10">
        <v>107.83150000000001</v>
      </c>
      <c r="D313">
        <v>-0.91175542409719679</v>
      </c>
      <c r="E313">
        <f t="shared" si="8"/>
        <v>-17.561359456751159</v>
      </c>
      <c r="F313" s="10">
        <v>109.792</v>
      </c>
      <c r="G313" s="20">
        <v>1.5129831506365925E-2</v>
      </c>
      <c r="H313">
        <f t="shared" si="9"/>
        <v>-58.496568262684647</v>
      </c>
      <c r="I313" s="5">
        <v>225</v>
      </c>
      <c r="J313" s="5">
        <v>107.01477</v>
      </c>
      <c r="K313" s="5">
        <v>16.907080000000001</v>
      </c>
      <c r="L313" s="5">
        <v>119.78075</v>
      </c>
      <c r="M313" s="5">
        <v>97.853380000000001</v>
      </c>
      <c r="N313">
        <v>87.84614880303873</v>
      </c>
    </row>
    <row r="314" spans="1:14" x14ac:dyDescent="0.2">
      <c r="A314" s="4">
        <v>40179</v>
      </c>
      <c r="B314" s="5">
        <v>156.86275000000001</v>
      </c>
      <c r="C314" s="11">
        <v>107.7115</v>
      </c>
      <c r="D314">
        <v>-0.95611331424044965</v>
      </c>
      <c r="E314">
        <f t="shared" si="8"/>
        <v>-18.415738638887728</v>
      </c>
      <c r="F314" s="11">
        <v>109.995</v>
      </c>
      <c r="G314" s="20">
        <v>3.805569533021249E-2</v>
      </c>
      <c r="H314">
        <f t="shared" si="9"/>
        <v>-147.13498816765104</v>
      </c>
      <c r="I314" s="5">
        <v>222.72727</v>
      </c>
      <c r="J314" s="5">
        <v>107.08419000000001</v>
      </c>
      <c r="K314" s="5">
        <v>24.953189999999999</v>
      </c>
      <c r="L314" s="5">
        <v>126.10026999999999</v>
      </c>
      <c r="M314" s="5">
        <v>97.985010000000003</v>
      </c>
      <c r="N314">
        <v>87.575645699869582</v>
      </c>
    </row>
    <row r="315" spans="1:14" x14ac:dyDescent="0.2">
      <c r="A315" s="4">
        <v>40210</v>
      </c>
      <c r="B315" s="5">
        <v>159.80392000000001</v>
      </c>
      <c r="C315" s="11">
        <v>107.75</v>
      </c>
      <c r="D315">
        <v>-1.0795677750454276</v>
      </c>
      <c r="E315">
        <f t="shared" si="8"/>
        <v>-20.793600185346151</v>
      </c>
      <c r="F315" s="11">
        <v>110.071</v>
      </c>
      <c r="G315" s="20">
        <v>0</v>
      </c>
      <c r="H315">
        <f t="shared" si="9"/>
        <v>0</v>
      </c>
      <c r="I315" s="5">
        <v>222.72727</v>
      </c>
      <c r="J315" s="5">
        <v>106.98227</v>
      </c>
      <c r="K315" s="5">
        <v>-3.9121600000000001</v>
      </c>
      <c r="L315" s="5">
        <v>123.19844999999999</v>
      </c>
      <c r="M315" s="5">
        <v>98.066019999999995</v>
      </c>
      <c r="N315">
        <v>87.667037253096908</v>
      </c>
    </row>
    <row r="316" spans="1:14" x14ac:dyDescent="0.2">
      <c r="A316" s="4">
        <v>40238</v>
      </c>
      <c r="B316" s="5">
        <v>162.74510000000001</v>
      </c>
      <c r="C316" s="11">
        <v>107.63749999999999</v>
      </c>
      <c r="D316">
        <v>-0.97307368211689305</v>
      </c>
      <c r="E316">
        <f t="shared" si="8"/>
        <v>-18.742412995765704</v>
      </c>
      <c r="F316" s="11">
        <v>110.786</v>
      </c>
      <c r="G316" s="20">
        <v>-3.0617730510968087E-2</v>
      </c>
      <c r="H316">
        <f t="shared" si="9"/>
        <v>118.37753527722663</v>
      </c>
      <c r="I316" s="5">
        <v>225</v>
      </c>
      <c r="J316" s="5">
        <v>107.01773</v>
      </c>
      <c r="K316" s="5">
        <v>-10.49567</v>
      </c>
      <c r="L316" s="5">
        <v>130.96888999999999</v>
      </c>
      <c r="M316" s="5">
        <v>98.187529999999995</v>
      </c>
      <c r="N316">
        <v>87.632164491469652</v>
      </c>
    </row>
    <row r="317" spans="1:14" x14ac:dyDescent="0.2">
      <c r="A317" s="4">
        <v>40269</v>
      </c>
      <c r="B317" s="5">
        <v>165.68627000000001</v>
      </c>
      <c r="C317" s="11">
        <v>108.23650000000001</v>
      </c>
      <c r="D317">
        <v>-0.87230778037822931</v>
      </c>
      <c r="E317">
        <f t="shared" si="8"/>
        <v>-16.801556736897215</v>
      </c>
      <c r="F317" s="11">
        <v>111.01300000000001</v>
      </c>
      <c r="G317" s="20">
        <v>1.0952543855276618E-3</v>
      </c>
      <c r="H317">
        <f t="shared" si="9"/>
        <v>-4.2345893211742984</v>
      </c>
      <c r="I317" s="5">
        <v>225</v>
      </c>
      <c r="J317" s="5">
        <v>107.04234</v>
      </c>
      <c r="K317" s="5">
        <v>16.606439999999999</v>
      </c>
      <c r="L317" s="5">
        <v>136.19217</v>
      </c>
      <c r="M317" s="5">
        <v>98.410290000000003</v>
      </c>
      <c r="N317">
        <v>87.494803810352792</v>
      </c>
    </row>
    <row r="318" spans="1:14" x14ac:dyDescent="0.2">
      <c r="A318" s="4">
        <v>40299</v>
      </c>
      <c r="B318" s="5">
        <v>166.66667000000001</v>
      </c>
      <c r="C318" s="11">
        <v>108.1765</v>
      </c>
      <c r="D318">
        <v>-0.76258686539370146</v>
      </c>
      <c r="E318">
        <f t="shared" si="8"/>
        <v>-14.688217592383914</v>
      </c>
      <c r="F318" s="11">
        <v>110.726</v>
      </c>
      <c r="G318" s="20">
        <v>0</v>
      </c>
      <c r="H318">
        <f t="shared" si="9"/>
        <v>0</v>
      </c>
      <c r="I318" s="5">
        <v>218.18181999999999</v>
      </c>
      <c r="J318" s="5">
        <v>106.98671</v>
      </c>
      <c r="K318" s="5">
        <v>10.11716</v>
      </c>
      <c r="L318" s="5">
        <v>119.03917</v>
      </c>
      <c r="M318" s="5">
        <v>98.886189999999999</v>
      </c>
      <c r="N318">
        <v>87.192428684832024</v>
      </c>
    </row>
    <row r="319" spans="1:14" x14ac:dyDescent="0.2">
      <c r="A319" s="4">
        <v>40330</v>
      </c>
      <c r="B319" s="5">
        <v>165.68627000000001</v>
      </c>
      <c r="C319" s="11">
        <v>108.15049999999999</v>
      </c>
      <c r="D319">
        <v>-0.74139890535935982</v>
      </c>
      <c r="E319">
        <f t="shared" si="8"/>
        <v>-14.280115405674373</v>
      </c>
      <c r="F319" s="11">
        <v>110.574</v>
      </c>
      <c r="G319" s="20">
        <v>1.5590951974509893E-2</v>
      </c>
      <c r="H319">
        <f t="shared" si="9"/>
        <v>-60.27940139805402</v>
      </c>
      <c r="I319" s="5">
        <v>213.63636</v>
      </c>
      <c r="J319" s="5">
        <v>106.9419</v>
      </c>
      <c r="K319" s="5">
        <v>46.403640000000003</v>
      </c>
      <c r="L319" s="5">
        <v>121.47348</v>
      </c>
      <c r="M319" s="5">
        <v>99.098830000000007</v>
      </c>
      <c r="N319">
        <v>86.604451725685507</v>
      </c>
    </row>
    <row r="320" spans="1:14" x14ac:dyDescent="0.2">
      <c r="A320" s="4">
        <v>40360</v>
      </c>
      <c r="B320" s="5">
        <v>162.74510000000001</v>
      </c>
      <c r="C320" s="11">
        <v>107.929</v>
      </c>
      <c r="D320">
        <v>-0.78468553363494675</v>
      </c>
      <c r="E320">
        <f t="shared" si="8"/>
        <v>-15.113860968055928</v>
      </c>
      <c r="F320" s="11">
        <v>110.236</v>
      </c>
      <c r="G320" s="20">
        <v>0</v>
      </c>
      <c r="H320">
        <f t="shared" si="9"/>
        <v>0</v>
      </c>
      <c r="I320" s="5">
        <v>213.63636</v>
      </c>
      <c r="J320" s="5">
        <v>107.1418</v>
      </c>
      <c r="K320" s="5">
        <v>23.199200000000001</v>
      </c>
      <c r="L320" s="5">
        <v>123.11785</v>
      </c>
      <c r="M320" s="5">
        <v>99.230459999999994</v>
      </c>
      <c r="N320">
        <v>86.279853861952304</v>
      </c>
    </row>
    <row r="321" spans="1:14" x14ac:dyDescent="0.2">
      <c r="A321" s="4">
        <v>40391</v>
      </c>
      <c r="B321" s="5">
        <v>159.80392000000001</v>
      </c>
      <c r="C321" s="11">
        <v>107.97800000000001</v>
      </c>
      <c r="D321">
        <v>-0.57287849614772424</v>
      </c>
      <c r="E321">
        <f t="shared" si="8"/>
        <v>-11.03423673717649</v>
      </c>
      <c r="F321" s="11">
        <v>110.565</v>
      </c>
      <c r="G321" s="20">
        <v>-1.6183601902649374E-2</v>
      </c>
      <c r="H321">
        <f t="shared" si="9"/>
        <v>62.570767760111636</v>
      </c>
      <c r="I321" s="5">
        <v>215.90908999999999</v>
      </c>
      <c r="J321" s="5">
        <v>107.29837999999999</v>
      </c>
      <c r="K321" s="5">
        <v>15.78421</v>
      </c>
      <c r="L321" s="5">
        <v>123.8433</v>
      </c>
      <c r="M321" s="5">
        <v>99.341840000000005</v>
      </c>
      <c r="N321">
        <v>86.015976709109054</v>
      </c>
    </row>
    <row r="322" spans="1:14" x14ac:dyDescent="0.2">
      <c r="A322" s="4">
        <v>40422</v>
      </c>
      <c r="B322" s="5">
        <v>156.86275000000001</v>
      </c>
      <c r="C322" s="11">
        <v>107.82249999999999</v>
      </c>
      <c r="D322">
        <v>-0.61317731775799278</v>
      </c>
      <c r="E322">
        <f t="shared" si="8"/>
        <v>-11.810434030087768</v>
      </c>
      <c r="F322" s="11">
        <v>110.121</v>
      </c>
      <c r="G322" s="20">
        <v>-2.1575930040542146E-3</v>
      </c>
      <c r="H322">
        <f t="shared" si="9"/>
        <v>8.3419161932929775</v>
      </c>
      <c r="I322" s="5">
        <v>215.90908999999999</v>
      </c>
      <c r="J322" s="5">
        <v>107.47169</v>
      </c>
      <c r="K322" s="5">
        <v>56.365659999999998</v>
      </c>
      <c r="L322" s="5">
        <v>121.40900000000001</v>
      </c>
      <c r="M322" s="5">
        <v>99.483599999999996</v>
      </c>
      <c r="N322">
        <v>85.888645047672028</v>
      </c>
    </row>
    <row r="323" spans="1:14" x14ac:dyDescent="0.2">
      <c r="A323" s="4">
        <v>40452</v>
      </c>
      <c r="B323" s="5">
        <v>154.90196</v>
      </c>
      <c r="C323" s="11">
        <v>107.90350000000001</v>
      </c>
      <c r="D323">
        <v>-0.780766305899528</v>
      </c>
      <c r="E323">
        <f t="shared" ref="E323:E386" si="10">(D323 / $D$277) * 100</f>
        <v>-15.038372558296581</v>
      </c>
      <c r="F323" s="11">
        <v>110.663</v>
      </c>
      <c r="G323" s="20">
        <v>0</v>
      </c>
      <c r="H323">
        <f t="shared" ref="H323:H386" si="11">(G323 / G$277) * 100</f>
        <v>0</v>
      </c>
      <c r="I323" s="5">
        <v>213.63636</v>
      </c>
      <c r="J323" s="5">
        <v>107.84589</v>
      </c>
      <c r="K323" s="5">
        <v>41.316139999999997</v>
      </c>
      <c r="L323" s="5">
        <v>132.03289000000001</v>
      </c>
      <c r="M323" s="5">
        <v>99.767110000000002</v>
      </c>
      <c r="N323">
        <v>86.293152181695547</v>
      </c>
    </row>
    <row r="324" spans="1:14" x14ac:dyDescent="0.2">
      <c r="A324" s="4">
        <v>40483</v>
      </c>
      <c r="B324" s="5">
        <v>154.90196</v>
      </c>
      <c r="C324" s="11">
        <v>108.09100000000001</v>
      </c>
      <c r="D324">
        <v>-1.036470762354365</v>
      </c>
      <c r="E324">
        <f t="shared" si="10"/>
        <v>-19.963506816689389</v>
      </c>
      <c r="F324" s="11">
        <v>110.593</v>
      </c>
      <c r="G324" s="20">
        <v>5.7897175201972011E-3</v>
      </c>
      <c r="H324">
        <f t="shared" si="11"/>
        <v>-22.384823386788991</v>
      </c>
      <c r="I324" s="5">
        <v>222.72727</v>
      </c>
      <c r="J324" s="5">
        <v>108.11915</v>
      </c>
      <c r="K324" s="5">
        <v>48.36824</v>
      </c>
      <c r="L324" s="5">
        <v>135.64403999999999</v>
      </c>
      <c r="M324" s="5">
        <v>99.807609999999997</v>
      </c>
      <c r="N324">
        <v>86.082262676522745</v>
      </c>
    </row>
    <row r="325" spans="1:14" x14ac:dyDescent="0.2">
      <c r="A325" s="4">
        <v>40513</v>
      </c>
      <c r="B325" s="5">
        <v>156.86275000000001</v>
      </c>
      <c r="C325" s="11">
        <v>107.87100000000001</v>
      </c>
      <c r="D325">
        <v>-1.2227640981164223</v>
      </c>
      <c r="E325">
        <f t="shared" si="10"/>
        <v>-23.551710568758278</v>
      </c>
      <c r="F325" s="11">
        <v>110.371</v>
      </c>
      <c r="G325" s="20">
        <v>5.170775879021104E-3</v>
      </c>
      <c r="H325">
        <f t="shared" si="11"/>
        <v>-19.991805199610777</v>
      </c>
      <c r="I325" s="5">
        <v>211.36364</v>
      </c>
      <c r="J325" s="5">
        <v>108.55342</v>
      </c>
      <c r="K325" s="5">
        <v>51.122970000000002</v>
      </c>
      <c r="L325" s="5">
        <v>143.54345000000001</v>
      </c>
      <c r="M325" s="5">
        <v>100.22275999999999</v>
      </c>
      <c r="N325">
        <v>85.687499460646663</v>
      </c>
    </row>
    <row r="326" spans="1:14" x14ac:dyDescent="0.2">
      <c r="A326" s="4">
        <v>40544</v>
      </c>
      <c r="B326" s="5">
        <v>158.82353000000001</v>
      </c>
      <c r="C326" s="11">
        <v>107.617</v>
      </c>
      <c r="D326">
        <v>-1.412595932355613</v>
      </c>
      <c r="E326">
        <f t="shared" si="10"/>
        <v>-27.208069488377323</v>
      </c>
      <c r="F326" s="11">
        <v>111.346</v>
      </c>
      <c r="G326" s="20">
        <v>-2.5191466398218126E-3</v>
      </c>
      <c r="H326">
        <f t="shared" si="11"/>
        <v>9.7397934218928039</v>
      </c>
      <c r="I326" s="5">
        <v>206.81818000000001</v>
      </c>
      <c r="J326" s="5">
        <v>108.90546999999999</v>
      </c>
      <c r="K326" s="5">
        <v>83.404420000000002</v>
      </c>
      <c r="L326" s="5">
        <v>144.15604999999999</v>
      </c>
      <c r="M326" s="5">
        <v>100.41515</v>
      </c>
      <c r="N326">
        <v>85.319866188933332</v>
      </c>
    </row>
    <row r="327" spans="1:14" x14ac:dyDescent="0.2">
      <c r="A327" s="4">
        <v>40575</v>
      </c>
      <c r="B327" s="5">
        <v>160.78431</v>
      </c>
      <c r="C327" s="11">
        <v>108.2385</v>
      </c>
      <c r="D327">
        <v>-1.2439332368092746</v>
      </c>
      <c r="E327">
        <f t="shared" si="10"/>
        <v>-23.959450236820146</v>
      </c>
      <c r="F327" s="11">
        <v>112.072</v>
      </c>
      <c r="G327" s="20">
        <v>0</v>
      </c>
      <c r="H327">
        <f t="shared" si="11"/>
        <v>0</v>
      </c>
      <c r="I327" s="5">
        <v>204.54544999999999</v>
      </c>
      <c r="J327" s="5">
        <v>109.25554</v>
      </c>
      <c r="K327" s="5">
        <v>103.35428</v>
      </c>
      <c r="L327" s="5">
        <v>144.41399000000001</v>
      </c>
      <c r="M327" s="5">
        <v>100.68854</v>
      </c>
      <c r="N327">
        <v>85.338126833070888</v>
      </c>
    </row>
    <row r="328" spans="1:14" x14ac:dyDescent="0.2">
      <c r="A328" s="4">
        <v>40603</v>
      </c>
      <c r="B328" s="5">
        <v>161.76471000000001</v>
      </c>
      <c r="C328" s="11">
        <v>108.4255</v>
      </c>
      <c r="D328">
        <v>-1.1637420651469852</v>
      </c>
      <c r="E328">
        <f t="shared" si="10"/>
        <v>-22.41488471672583</v>
      </c>
      <c r="F328" s="11">
        <v>113.16200000000001</v>
      </c>
      <c r="G328" s="20">
        <v>1.5773823030018723E-2</v>
      </c>
      <c r="H328">
        <f t="shared" si="11"/>
        <v>-60.986436977223605</v>
      </c>
      <c r="I328" s="5">
        <v>204.54544999999999</v>
      </c>
      <c r="J328" s="5">
        <v>109.82078</v>
      </c>
      <c r="K328" s="5">
        <v>63.994140000000002</v>
      </c>
      <c r="L328" s="5">
        <v>165.95196000000001</v>
      </c>
      <c r="M328" s="5">
        <v>100.93155</v>
      </c>
      <c r="N328">
        <v>85.449543541851654</v>
      </c>
    </row>
    <row r="329" spans="1:14" x14ac:dyDescent="0.2">
      <c r="A329" s="4">
        <v>40634</v>
      </c>
      <c r="B329" s="5">
        <v>161.76471000000001</v>
      </c>
      <c r="C329" s="11">
        <v>108.25200000000001</v>
      </c>
      <c r="D329">
        <v>-1.2025988548897071</v>
      </c>
      <c r="E329">
        <f t="shared" si="10"/>
        <v>-23.163306973366659</v>
      </c>
      <c r="F329" s="11">
        <v>113.771</v>
      </c>
      <c r="G329" s="20">
        <v>-2.5465915571613713E-3</v>
      </c>
      <c r="H329">
        <f t="shared" si="11"/>
        <v>9.8459038884860206</v>
      </c>
      <c r="I329" s="5">
        <v>206.81818000000001</v>
      </c>
      <c r="J329" s="5">
        <v>110.33629000000001</v>
      </c>
      <c r="K329" s="5">
        <v>82.523600000000002</v>
      </c>
      <c r="L329" s="5">
        <v>177.39803000000001</v>
      </c>
      <c r="M329" s="5">
        <v>101.19482000000001</v>
      </c>
      <c r="N329">
        <v>85.235016282110351</v>
      </c>
    </row>
    <row r="330" spans="1:14" x14ac:dyDescent="0.2">
      <c r="A330" s="4">
        <v>40664</v>
      </c>
      <c r="B330" s="5">
        <v>159.80392000000001</v>
      </c>
      <c r="C330" s="12">
        <v>108.2355</v>
      </c>
      <c r="D330">
        <v>-1.1777515863986714</v>
      </c>
      <c r="E330">
        <f t="shared" si="10"/>
        <v>-22.684722693024646</v>
      </c>
      <c r="F330" s="12">
        <v>114.28100000000001</v>
      </c>
      <c r="G330" s="20">
        <v>0</v>
      </c>
      <c r="H330">
        <f t="shared" si="11"/>
        <v>0</v>
      </c>
      <c r="I330" s="5">
        <v>204.54544999999999</v>
      </c>
      <c r="J330" s="5">
        <v>110.68735</v>
      </c>
      <c r="K330" s="5">
        <v>84.600120000000004</v>
      </c>
      <c r="L330" s="5">
        <v>163.35643999999999</v>
      </c>
      <c r="M330" s="5">
        <v>101.44795000000001</v>
      </c>
      <c r="N330">
        <v>84.794612009835873</v>
      </c>
    </row>
    <row r="331" spans="1:14" x14ac:dyDescent="0.2">
      <c r="A331" s="4">
        <v>40695</v>
      </c>
      <c r="B331" s="5">
        <v>157.84314000000001</v>
      </c>
      <c r="C331" s="12">
        <v>108.90600000000001</v>
      </c>
      <c r="D331">
        <v>-1.3097705812652545</v>
      </c>
      <c r="E331">
        <f t="shared" si="10"/>
        <v>-25.227546089185648</v>
      </c>
      <c r="F331" s="12">
        <v>114.173</v>
      </c>
      <c r="G331" s="20">
        <v>1.3960196350661659E-2</v>
      </c>
      <c r="H331">
        <f t="shared" si="11"/>
        <v>-53.97440007467128</v>
      </c>
      <c r="I331" s="5">
        <v>206.81818000000001</v>
      </c>
      <c r="J331" s="5">
        <v>110.68735</v>
      </c>
      <c r="K331" s="5">
        <v>70.69144</v>
      </c>
      <c r="L331" s="5">
        <v>155.23133999999999</v>
      </c>
      <c r="M331" s="5">
        <v>101.67072</v>
      </c>
      <c r="N331">
        <v>84.67342779092057</v>
      </c>
    </row>
    <row r="332" spans="1:14" x14ac:dyDescent="0.2">
      <c r="A332" s="4">
        <v>40725</v>
      </c>
      <c r="B332" s="5">
        <v>155.88235</v>
      </c>
      <c r="C332" s="12">
        <v>108.73349999999999</v>
      </c>
      <c r="D332">
        <v>-1.2795187675601598</v>
      </c>
      <c r="E332">
        <f t="shared" si="10"/>
        <v>-24.644864636843444</v>
      </c>
      <c r="F332" s="12">
        <v>113.986</v>
      </c>
      <c r="G332" s="20">
        <v>0</v>
      </c>
      <c r="H332">
        <f t="shared" si="11"/>
        <v>0</v>
      </c>
      <c r="I332" s="5">
        <v>204.54544999999999</v>
      </c>
      <c r="J332" s="5">
        <v>110.97735</v>
      </c>
      <c r="K332" s="5">
        <v>93.083399999999997</v>
      </c>
      <c r="L332" s="5">
        <v>156.68225000000001</v>
      </c>
      <c r="M332" s="5">
        <v>101.88334999999999</v>
      </c>
      <c r="N332">
        <v>84.714932663161093</v>
      </c>
    </row>
    <row r="333" spans="1:14" x14ac:dyDescent="0.2">
      <c r="A333" s="4">
        <v>40756</v>
      </c>
      <c r="B333" s="5">
        <v>153.92157</v>
      </c>
      <c r="C333" s="12">
        <v>109.283</v>
      </c>
      <c r="D333">
        <v>-0.64668173204895685</v>
      </c>
      <c r="E333">
        <f t="shared" si="10"/>
        <v>-12.455763958707756</v>
      </c>
      <c r="F333" s="12">
        <v>114.976</v>
      </c>
      <c r="G333" s="20">
        <v>-1.154499807377274E-2</v>
      </c>
      <c r="H333">
        <f t="shared" si="11"/>
        <v>44.636502900303768</v>
      </c>
      <c r="I333" s="5">
        <v>204.54544999999999</v>
      </c>
      <c r="J333" s="5">
        <v>111.32742</v>
      </c>
      <c r="K333" s="5">
        <v>116.59939</v>
      </c>
      <c r="L333" s="5">
        <v>139.17458999999999</v>
      </c>
      <c r="M333" s="5">
        <v>102.09599</v>
      </c>
      <c r="N333">
        <v>84.344181800053235</v>
      </c>
    </row>
    <row r="334" spans="1:14" x14ac:dyDescent="0.2">
      <c r="A334" s="4">
        <v>40787</v>
      </c>
      <c r="B334" s="5">
        <v>152.94118</v>
      </c>
      <c r="C334" s="12">
        <v>109.646</v>
      </c>
      <c r="D334">
        <v>-0.29269687986000459</v>
      </c>
      <c r="E334">
        <f t="shared" si="10"/>
        <v>-5.6376468768263539</v>
      </c>
      <c r="F334" s="12">
        <v>114.551</v>
      </c>
      <c r="G334" s="20">
        <v>6.9935430078747252E-2</v>
      </c>
      <c r="H334">
        <f t="shared" si="11"/>
        <v>-270.39181882893763</v>
      </c>
      <c r="I334" s="5">
        <v>204.54544999999999</v>
      </c>
      <c r="J334" s="5">
        <v>111.56918</v>
      </c>
      <c r="K334" s="5">
        <v>91.430359999999993</v>
      </c>
      <c r="L334" s="5">
        <v>138.01385999999999</v>
      </c>
      <c r="M334" s="5">
        <v>102.339</v>
      </c>
      <c r="N334">
        <v>84.492340209651758</v>
      </c>
    </row>
    <row r="335" spans="1:14" x14ac:dyDescent="0.2">
      <c r="A335" s="4">
        <v>40817</v>
      </c>
      <c r="B335" s="5">
        <v>151.96078</v>
      </c>
      <c r="C335" s="12">
        <v>109.559</v>
      </c>
      <c r="D335">
        <v>-0.42614283118149854</v>
      </c>
      <c r="E335">
        <f t="shared" si="10"/>
        <v>-8.2079549411028623</v>
      </c>
      <c r="F335" s="12">
        <v>113.873</v>
      </c>
      <c r="G335" s="20">
        <v>0</v>
      </c>
      <c r="H335">
        <f t="shared" si="11"/>
        <v>0</v>
      </c>
      <c r="I335" s="5">
        <v>200</v>
      </c>
      <c r="J335" s="5">
        <v>111.64451</v>
      </c>
      <c r="K335" s="5">
        <v>74.196680000000001</v>
      </c>
      <c r="L335" s="5">
        <v>139.30356</v>
      </c>
      <c r="M335" s="5">
        <v>102.68326999999999</v>
      </c>
      <c r="N335">
        <v>84.939851842621621</v>
      </c>
    </row>
    <row r="336" spans="1:14" x14ac:dyDescent="0.2">
      <c r="A336" s="4">
        <v>40848</v>
      </c>
      <c r="B336" s="5">
        <v>151.96078</v>
      </c>
      <c r="C336" s="12">
        <v>109.21000000000001</v>
      </c>
      <c r="D336">
        <v>-0.34129469242431515</v>
      </c>
      <c r="E336">
        <f t="shared" si="10"/>
        <v>-6.5736913825102548</v>
      </c>
      <c r="F336" s="12">
        <v>113.98399999999999</v>
      </c>
      <c r="G336" s="20">
        <v>2.330831941069237E-2</v>
      </c>
      <c r="H336">
        <f t="shared" si="11"/>
        <v>-90.117110486150835</v>
      </c>
      <c r="I336" s="5">
        <v>195.45455000000001</v>
      </c>
      <c r="J336" s="5">
        <v>111.85081</v>
      </c>
      <c r="K336" s="5">
        <v>67.766729999999995</v>
      </c>
      <c r="L336" s="5">
        <v>156.71449000000001</v>
      </c>
      <c r="M336" s="5">
        <v>102.98703999999999</v>
      </c>
      <c r="N336">
        <v>85.763147970479295</v>
      </c>
    </row>
    <row r="337" spans="1:14" x14ac:dyDescent="0.2">
      <c r="A337" s="4">
        <v>40878</v>
      </c>
      <c r="B337" s="5">
        <v>150.98039</v>
      </c>
      <c r="C337" s="12">
        <v>108.788</v>
      </c>
      <c r="D337">
        <v>-0.2931326822151914</v>
      </c>
      <c r="E337">
        <f t="shared" si="10"/>
        <v>-5.6460408842643828</v>
      </c>
      <c r="F337" s="12">
        <v>113.976</v>
      </c>
      <c r="G337" s="20">
        <v>1.7474715856773584E-2</v>
      </c>
      <c r="H337">
        <f t="shared" si="11"/>
        <v>-67.562610235062778</v>
      </c>
      <c r="I337" s="5">
        <v>193.18181999999999</v>
      </c>
      <c r="J337" s="5">
        <v>111.87739999999999</v>
      </c>
      <c r="K337" s="5">
        <v>87.114019999999996</v>
      </c>
      <c r="L337" s="5">
        <v>158.90698</v>
      </c>
      <c r="M337" s="5">
        <v>103.23005000000001</v>
      </c>
      <c r="N337">
        <v>85.830680905500884</v>
      </c>
    </row>
    <row r="338" spans="1:14" x14ac:dyDescent="0.2">
      <c r="A338" s="6">
        <v>40909</v>
      </c>
      <c r="B338" s="7">
        <v>150</v>
      </c>
      <c r="C338" s="19">
        <v>109.7045</v>
      </c>
      <c r="D338" s="3">
        <v>-0.29119586583188295</v>
      </c>
      <c r="E338" s="3">
        <f t="shared" si="10"/>
        <v>-5.6087357826877362</v>
      </c>
      <c r="F338" s="19">
        <v>114.26300000000001</v>
      </c>
      <c r="G338" s="20">
        <v>-1.1629413173793086E-2</v>
      </c>
      <c r="H338">
        <f t="shared" si="11"/>
        <v>44.962877563409812</v>
      </c>
      <c r="I338" s="5">
        <v>188.63636</v>
      </c>
      <c r="J338" s="5">
        <v>112.18218</v>
      </c>
      <c r="K338" s="5">
        <v>117.33754</v>
      </c>
      <c r="L338" s="5">
        <v>161.59923000000001</v>
      </c>
      <c r="M338" s="5">
        <v>103.61481999999999</v>
      </c>
      <c r="N338">
        <v>85.735571292856989</v>
      </c>
    </row>
    <row r="339" spans="1:14" x14ac:dyDescent="0.2">
      <c r="A339" s="4">
        <v>40940</v>
      </c>
      <c r="B339" s="5">
        <v>148.03922</v>
      </c>
      <c r="C339" s="13">
        <v>109.57</v>
      </c>
      <c r="D339">
        <v>-0.25919947000290089</v>
      </c>
      <c r="E339">
        <f t="shared" si="10"/>
        <v>-4.9924518609006725</v>
      </c>
      <c r="F339" s="13">
        <v>114.538</v>
      </c>
      <c r="G339" s="20">
        <v>0</v>
      </c>
      <c r="H339">
        <f t="shared" si="11"/>
        <v>0</v>
      </c>
      <c r="I339" s="5">
        <v>188.63636</v>
      </c>
      <c r="J339" s="5">
        <v>112.42196</v>
      </c>
      <c r="K339" s="5">
        <v>61.806019999999997</v>
      </c>
      <c r="L339" s="5">
        <v>164.83958999999999</v>
      </c>
      <c r="M339" s="5">
        <v>103.88821</v>
      </c>
      <c r="N339">
        <v>85.795480074360512</v>
      </c>
    </row>
    <row r="340" spans="1:14" x14ac:dyDescent="0.2">
      <c r="A340" s="4">
        <v>40969</v>
      </c>
      <c r="B340" s="5">
        <v>146.07843</v>
      </c>
      <c r="C340" s="13">
        <v>110.0295</v>
      </c>
      <c r="D340">
        <v>-0.44911326044814609</v>
      </c>
      <c r="E340">
        <f t="shared" si="10"/>
        <v>-8.6503893424412546</v>
      </c>
      <c r="F340" s="13">
        <v>114.946</v>
      </c>
      <c r="G340" s="20">
        <v>2.1518386039162361E-2</v>
      </c>
      <c r="H340">
        <f t="shared" si="11"/>
        <v>-83.19667917736146</v>
      </c>
      <c r="I340" s="5">
        <v>186.36364</v>
      </c>
      <c r="J340" s="5">
        <v>112.65731</v>
      </c>
      <c r="K340" s="5">
        <v>88.800399999999996</v>
      </c>
      <c r="L340" s="5">
        <v>171.19136</v>
      </c>
      <c r="M340" s="5">
        <v>104.26286</v>
      </c>
      <c r="N340">
        <v>85.709974642408355</v>
      </c>
    </row>
    <row r="341" spans="1:14" x14ac:dyDescent="0.2">
      <c r="A341" s="4">
        <v>41000</v>
      </c>
      <c r="B341" s="5">
        <v>144.11765</v>
      </c>
      <c r="C341" s="13">
        <v>109.494</v>
      </c>
      <c r="D341">
        <v>-0.40989335019974182</v>
      </c>
      <c r="E341">
        <f t="shared" si="10"/>
        <v>-7.8949730065135153</v>
      </c>
      <c r="F341" s="13">
        <v>116.03400000000001</v>
      </c>
      <c r="G341" s="20">
        <v>1.2982096108580818E-2</v>
      </c>
      <c r="H341">
        <f t="shared" si="11"/>
        <v>-50.192764598125706</v>
      </c>
      <c r="I341" s="5">
        <v>186.36364</v>
      </c>
      <c r="J341" s="5">
        <v>112.84441</v>
      </c>
      <c r="K341" s="5">
        <v>83.841309999999993</v>
      </c>
      <c r="L341" s="5">
        <v>166.58069</v>
      </c>
      <c r="M341" s="5">
        <v>104.4755</v>
      </c>
      <c r="N341">
        <v>85.676662560979636</v>
      </c>
    </row>
    <row r="342" spans="1:14" x14ac:dyDescent="0.2">
      <c r="A342" s="4">
        <v>41030</v>
      </c>
      <c r="B342" s="5">
        <v>142.15685999999999</v>
      </c>
      <c r="C342" s="13">
        <v>109.541</v>
      </c>
      <c r="D342">
        <v>-9.1619660584850271E-2</v>
      </c>
      <c r="E342">
        <f t="shared" si="10"/>
        <v>-1.7646901244697939</v>
      </c>
      <c r="F342" s="13">
        <v>115.82</v>
      </c>
      <c r="G342" s="20">
        <v>0</v>
      </c>
      <c r="H342">
        <f t="shared" si="11"/>
        <v>0</v>
      </c>
      <c r="I342" s="5">
        <v>186.36364</v>
      </c>
      <c r="J342" s="5">
        <v>112.61103</v>
      </c>
      <c r="K342" s="5">
        <v>63.549529999999997</v>
      </c>
      <c r="L342" s="5">
        <v>152.66806</v>
      </c>
      <c r="M342" s="5">
        <v>104.72864</v>
      </c>
      <c r="N342">
        <v>85.734724672118659</v>
      </c>
    </row>
    <row r="343" spans="1:14" x14ac:dyDescent="0.2">
      <c r="A343" s="4">
        <v>41061</v>
      </c>
      <c r="B343" s="5">
        <v>139.21569</v>
      </c>
      <c r="C343" s="13">
        <v>109.843</v>
      </c>
      <c r="D343">
        <v>7.963708503937128E-2</v>
      </c>
      <c r="E343">
        <f t="shared" si="10"/>
        <v>1.5338932344154277</v>
      </c>
      <c r="F343" s="13">
        <v>115.23099999999999</v>
      </c>
      <c r="G343" s="20">
        <v>2.865962640237936E-2</v>
      </c>
      <c r="H343">
        <f t="shared" si="11"/>
        <v>-110.806904328342</v>
      </c>
      <c r="I343" s="5">
        <v>186.36364</v>
      </c>
      <c r="J343" s="5">
        <v>112.51797000000001</v>
      </c>
      <c r="K343" s="5">
        <v>70.520290000000003</v>
      </c>
      <c r="L343" s="5">
        <v>132.85507000000001</v>
      </c>
      <c r="M343" s="5">
        <v>104.92102</v>
      </c>
      <c r="N343">
        <v>86.101400841968015</v>
      </c>
    </row>
    <row r="344" spans="1:14" x14ac:dyDescent="0.2">
      <c r="A344" s="4">
        <v>41091</v>
      </c>
      <c r="B344" s="5">
        <v>138.23528999999999</v>
      </c>
      <c r="C344" s="13">
        <v>110.07250000000001</v>
      </c>
      <c r="D344">
        <v>9.0601037341931479E-2</v>
      </c>
      <c r="E344">
        <f t="shared" si="10"/>
        <v>1.7450703794733642</v>
      </c>
      <c r="F344" s="13">
        <v>114.235</v>
      </c>
      <c r="G344" s="20">
        <v>0</v>
      </c>
      <c r="H344">
        <f t="shared" si="11"/>
        <v>0</v>
      </c>
      <c r="I344" s="5">
        <v>186.36364</v>
      </c>
      <c r="J344" s="5">
        <v>112.55047</v>
      </c>
      <c r="K344" s="5">
        <v>76.451130000000006</v>
      </c>
      <c r="L344" s="5">
        <v>141.75398999999999</v>
      </c>
      <c r="M344" s="5">
        <v>105.15391</v>
      </c>
      <c r="N344">
        <v>86.007366413216957</v>
      </c>
    </row>
    <row r="345" spans="1:14" x14ac:dyDescent="0.2">
      <c r="A345" s="4">
        <v>41122</v>
      </c>
      <c r="B345" s="5">
        <v>137.25489999999999</v>
      </c>
      <c r="C345">
        <v>109.8565</v>
      </c>
      <c r="D345">
        <v>-4.9923630201827884E-2</v>
      </c>
      <c r="E345">
        <f t="shared" si="10"/>
        <v>-0.96158113479646845</v>
      </c>
      <c r="F345">
        <v>115.145</v>
      </c>
      <c r="G345" s="20">
        <v>2.2743033312189291E-2</v>
      </c>
      <c r="H345">
        <f t="shared" si="11"/>
        <v>-87.93154108075997</v>
      </c>
      <c r="I345" s="5">
        <v>184.09091000000001</v>
      </c>
      <c r="J345" s="5">
        <v>113.20433</v>
      </c>
      <c r="K345" s="5">
        <v>88.931380000000004</v>
      </c>
      <c r="L345" s="5">
        <v>151.79751999999999</v>
      </c>
      <c r="M345" s="5">
        <v>105.44755000000001</v>
      </c>
      <c r="N345">
        <v>85.748736179197095</v>
      </c>
    </row>
    <row r="346" spans="1:14" x14ac:dyDescent="0.2">
      <c r="A346" s="4">
        <v>41153</v>
      </c>
      <c r="B346" s="5">
        <v>137.25489999999999</v>
      </c>
      <c r="C346">
        <v>109.6485</v>
      </c>
      <c r="D346">
        <v>-0.23258140621976747</v>
      </c>
      <c r="E346">
        <f t="shared" si="10"/>
        <v>-4.4797602181816885</v>
      </c>
      <c r="F346">
        <v>115.529</v>
      </c>
      <c r="G346" s="20">
        <v>2.3967558302572675E-2</v>
      </c>
      <c r="H346">
        <f t="shared" si="11"/>
        <v>-92.665930201959782</v>
      </c>
      <c r="I346" s="5">
        <v>177.27273</v>
      </c>
      <c r="J346" s="5">
        <v>113.74446</v>
      </c>
      <c r="K346" s="5">
        <v>83.895240000000001</v>
      </c>
      <c r="L346" s="5">
        <v>152.70031</v>
      </c>
      <c r="M346" s="5">
        <v>105.78169</v>
      </c>
      <c r="N346">
        <v>85.789690148937083</v>
      </c>
    </row>
    <row r="347" spans="1:14" x14ac:dyDescent="0.2">
      <c r="A347" s="4">
        <v>41183</v>
      </c>
      <c r="B347" s="5">
        <v>139.21569</v>
      </c>
      <c r="C347">
        <v>110.4965</v>
      </c>
      <c r="D347">
        <v>-0.35298997996810394</v>
      </c>
      <c r="E347">
        <f t="shared" si="10"/>
        <v>-6.7989548063170364</v>
      </c>
      <c r="F347">
        <v>115.754</v>
      </c>
      <c r="G347" s="20">
        <v>8.9492669006544425E-3</v>
      </c>
      <c r="H347">
        <f t="shared" si="11"/>
        <v>-34.600610187552448</v>
      </c>
      <c r="I347" s="5">
        <v>177.27273</v>
      </c>
      <c r="J347" s="5">
        <v>114.05121</v>
      </c>
      <c r="K347" s="5">
        <v>68.795289999999994</v>
      </c>
      <c r="L347" s="5">
        <v>144.39787000000001</v>
      </c>
      <c r="M347" s="5">
        <v>105.9842</v>
      </c>
      <c r="N347">
        <v>85.683632493264284</v>
      </c>
    </row>
    <row r="348" spans="1:14" x14ac:dyDescent="0.2">
      <c r="A348" s="4">
        <v>41214</v>
      </c>
      <c r="B348" s="5">
        <v>140.19607999999999</v>
      </c>
      <c r="C348" s="9">
        <v>110.943</v>
      </c>
      <c r="D348">
        <v>-0.22604414683816482</v>
      </c>
      <c r="E348">
        <f t="shared" si="10"/>
        <v>-4.3538457911016213</v>
      </c>
      <c r="F348" s="9">
        <v>115.71899999999999</v>
      </c>
      <c r="G348" s="20">
        <v>0</v>
      </c>
      <c r="H348">
        <f t="shared" si="11"/>
        <v>0</v>
      </c>
      <c r="I348" s="5">
        <v>175</v>
      </c>
      <c r="J348" s="5">
        <v>113.85968</v>
      </c>
      <c r="K348" s="5">
        <v>76.027150000000006</v>
      </c>
      <c r="L348" s="5">
        <v>139.70659000000001</v>
      </c>
      <c r="M348" s="5">
        <v>106.24747000000001</v>
      </c>
      <c r="N348">
        <v>85.836584206065865</v>
      </c>
    </row>
    <row r="349" spans="1:14" x14ac:dyDescent="0.2">
      <c r="A349" s="4">
        <v>41244</v>
      </c>
      <c r="B349" s="5">
        <v>140.19607999999999</v>
      </c>
      <c r="C349" s="9">
        <v>110.8425</v>
      </c>
      <c r="D349">
        <v>-0.37238330735444614</v>
      </c>
      <c r="E349">
        <f t="shared" si="10"/>
        <v>-7.1724904983379991</v>
      </c>
      <c r="F349" s="9">
        <v>115.289</v>
      </c>
      <c r="G349" s="20">
        <v>4.0821189006858671E-3</v>
      </c>
      <c r="H349">
        <f t="shared" si="11"/>
        <v>-15.782723477779273</v>
      </c>
      <c r="I349" s="5">
        <v>179.54544999999999</v>
      </c>
      <c r="J349" s="5">
        <v>113.84589</v>
      </c>
      <c r="K349" s="5">
        <v>65.698759999999993</v>
      </c>
      <c r="L349" s="5">
        <v>142.26987</v>
      </c>
      <c r="M349" s="5">
        <v>106.44998</v>
      </c>
      <c r="N349">
        <v>85.541524840521944</v>
      </c>
    </row>
    <row r="350" spans="1:14" x14ac:dyDescent="0.2">
      <c r="A350" s="4">
        <v>41275</v>
      </c>
      <c r="B350" s="5">
        <v>139.21569</v>
      </c>
      <c r="C350">
        <v>111.1125</v>
      </c>
      <c r="D350">
        <v>-0.61895743018380511</v>
      </c>
      <c r="E350">
        <f t="shared" si="10"/>
        <v>-11.921765017902437</v>
      </c>
      <c r="F350">
        <v>115.163</v>
      </c>
      <c r="G350" s="20">
        <v>5.7873224853343449E-3</v>
      </c>
      <c r="H350">
        <f t="shared" si="11"/>
        <v>-22.375563447556512</v>
      </c>
      <c r="I350" s="5">
        <v>181.81818000000001</v>
      </c>
      <c r="J350" s="5">
        <v>114.07138999999999</v>
      </c>
      <c r="K350" s="5">
        <v>100.59661</v>
      </c>
      <c r="L350" s="5">
        <v>152.65194</v>
      </c>
      <c r="M350" s="5">
        <v>106.70312</v>
      </c>
      <c r="N350">
        <v>85.499040149229913</v>
      </c>
    </row>
    <row r="351" spans="1:14" x14ac:dyDescent="0.2">
      <c r="A351" s="4">
        <v>41306</v>
      </c>
      <c r="B351" s="5">
        <v>138.23528999999999</v>
      </c>
      <c r="C351">
        <v>111.3815</v>
      </c>
      <c r="D351">
        <v>-0.65257691847083532</v>
      </c>
      <c r="E351">
        <f t="shared" si="10"/>
        <v>-12.569311391586124</v>
      </c>
      <c r="F351">
        <v>116.45699999999999</v>
      </c>
      <c r="G351" s="20">
        <v>0</v>
      </c>
      <c r="H351">
        <f t="shared" si="11"/>
        <v>0</v>
      </c>
      <c r="I351" s="5">
        <v>175</v>
      </c>
      <c r="J351" s="5">
        <v>114.69079000000001</v>
      </c>
      <c r="K351" s="5">
        <v>89.946809999999999</v>
      </c>
      <c r="L351" s="5">
        <v>153.66757999999999</v>
      </c>
      <c r="M351" s="5">
        <v>107.13852</v>
      </c>
      <c r="N351">
        <v>85.097285557164909</v>
      </c>
    </row>
    <row r="352" spans="1:14" x14ac:dyDescent="0.2">
      <c r="A352" s="4">
        <v>41334</v>
      </c>
      <c r="B352" s="5">
        <v>135.29411999999999</v>
      </c>
      <c r="C352" s="9">
        <v>111.569</v>
      </c>
      <c r="D352">
        <v>-0.65634695597645076</v>
      </c>
      <c r="E352">
        <f t="shared" si="10"/>
        <v>-12.641926242073145</v>
      </c>
      <c r="F352" s="9">
        <v>116.956</v>
      </c>
      <c r="G352" s="20">
        <v>1.1659988997951252E-2</v>
      </c>
      <c r="H352">
        <f t="shared" si="11"/>
        <v>-45.081093075876261</v>
      </c>
      <c r="I352" s="5">
        <v>170.45455000000001</v>
      </c>
      <c r="J352" s="5">
        <v>114.36829</v>
      </c>
      <c r="K352" s="5">
        <v>44.591349999999998</v>
      </c>
      <c r="L352" s="5">
        <v>150.00806</v>
      </c>
      <c r="M352" s="5">
        <v>107.44228</v>
      </c>
      <c r="N352">
        <v>84.676425058076589</v>
      </c>
    </row>
    <row r="353" spans="1:14" x14ac:dyDescent="0.2">
      <c r="A353" s="4">
        <v>41365</v>
      </c>
      <c r="B353" s="5">
        <v>134.31372999999999</v>
      </c>
      <c r="C353" s="9">
        <v>110.58600000000001</v>
      </c>
      <c r="D353">
        <v>-0.49665745142827911</v>
      </c>
      <c r="E353">
        <f t="shared" si="10"/>
        <v>-9.566139998610133</v>
      </c>
      <c r="F353" s="9">
        <v>116.64</v>
      </c>
      <c r="G353" s="20">
        <v>0</v>
      </c>
      <c r="H353">
        <f t="shared" si="11"/>
        <v>0</v>
      </c>
      <c r="I353" s="5">
        <v>172.72727</v>
      </c>
      <c r="J353" s="5">
        <v>114.12949</v>
      </c>
      <c r="K353" s="5">
        <v>76.640929999999997</v>
      </c>
      <c r="L353" s="5">
        <v>148.42818</v>
      </c>
      <c r="M353" s="5">
        <v>107.65492</v>
      </c>
      <c r="N353">
        <v>84.143270593210289</v>
      </c>
    </row>
    <row r="354" spans="1:14" x14ac:dyDescent="0.2">
      <c r="A354" s="4">
        <v>41395</v>
      </c>
      <c r="B354" s="5">
        <v>134.31372999999999</v>
      </c>
      <c r="C354">
        <v>110.187</v>
      </c>
      <c r="D354">
        <v>-0.60848829221952072</v>
      </c>
      <c r="E354">
        <f t="shared" si="10"/>
        <v>-11.720118512563394</v>
      </c>
      <c r="F354">
        <v>115.80800000000001</v>
      </c>
      <c r="G354" s="20">
        <v>7.6119124217973689E-3</v>
      </c>
      <c r="H354">
        <f t="shared" si="11"/>
        <v>-29.429987664033003</v>
      </c>
      <c r="I354" s="5">
        <v>170.45455000000001</v>
      </c>
      <c r="J354" s="5">
        <v>114.17676</v>
      </c>
      <c r="K354" s="5">
        <v>71.779449999999997</v>
      </c>
      <c r="L354" s="5">
        <v>152.82928000000001</v>
      </c>
      <c r="M354" s="5">
        <v>107.96881</v>
      </c>
      <c r="N354">
        <v>83.783674788643538</v>
      </c>
    </row>
    <row r="355" spans="1:14" x14ac:dyDescent="0.2">
      <c r="A355" s="4">
        <v>41426</v>
      </c>
      <c r="B355" s="5">
        <v>135.29411999999999</v>
      </c>
      <c r="C355" s="13">
        <v>110.27500000000001</v>
      </c>
      <c r="D355">
        <v>-0.66214183956112438</v>
      </c>
      <c r="E355">
        <f t="shared" si="10"/>
        <v>-12.753541737798049</v>
      </c>
      <c r="F355" s="13">
        <v>115.7</v>
      </c>
      <c r="G355" s="20">
        <v>1.085619158913614E-2</v>
      </c>
      <c r="H355">
        <f t="shared" si="11"/>
        <v>-41.973365803808584</v>
      </c>
      <c r="I355" s="5">
        <v>170.45455000000001</v>
      </c>
      <c r="J355" s="5">
        <v>114.44855</v>
      </c>
      <c r="K355" s="5">
        <v>78.415480000000002</v>
      </c>
      <c r="L355" s="5">
        <v>154.44139999999999</v>
      </c>
      <c r="M355" s="5">
        <v>108.23208</v>
      </c>
      <c r="N355">
        <v>83.146771976329745</v>
      </c>
    </row>
    <row r="356" spans="1:14" x14ac:dyDescent="0.2">
      <c r="A356" s="4">
        <v>41456</v>
      </c>
      <c r="B356" s="5">
        <v>137.25489999999999</v>
      </c>
      <c r="C356" s="9">
        <v>111.41900000000001</v>
      </c>
      <c r="D356">
        <v>-0.83612362445350774</v>
      </c>
      <c r="E356">
        <f t="shared" si="10"/>
        <v>-16.104612192298127</v>
      </c>
      <c r="F356" s="9">
        <v>116.38</v>
      </c>
      <c r="G356" s="20">
        <v>5.8300147709014136E-3</v>
      </c>
      <c r="H356">
        <f t="shared" si="11"/>
        <v>-22.540624915419741</v>
      </c>
      <c r="I356" s="5">
        <v>165.90908999999999</v>
      </c>
      <c r="J356" s="5">
        <v>114.67258</v>
      </c>
      <c r="K356" s="5">
        <v>73.497190000000003</v>
      </c>
      <c r="L356" s="5">
        <v>168.64420000000001</v>
      </c>
      <c r="M356" s="5">
        <v>108.5561</v>
      </c>
      <c r="N356">
        <v>82.863824016919111</v>
      </c>
    </row>
    <row r="357" spans="1:14" x14ac:dyDescent="0.2">
      <c r="A357" s="4">
        <v>41487</v>
      </c>
      <c r="B357" s="5">
        <v>140.19607999999999</v>
      </c>
      <c r="C357" s="9">
        <v>112.574</v>
      </c>
      <c r="D357">
        <v>-1.0298958604327413</v>
      </c>
      <c r="E357">
        <f t="shared" si="10"/>
        <v>-19.836867355067486</v>
      </c>
      <c r="F357" s="9">
        <v>117.005</v>
      </c>
      <c r="G357" s="20">
        <v>0</v>
      </c>
      <c r="H357">
        <f t="shared" si="11"/>
        <v>0</v>
      </c>
      <c r="I357" s="5">
        <v>163.63636</v>
      </c>
      <c r="J357" s="5">
        <v>114.94633</v>
      </c>
      <c r="K357" s="5">
        <v>78.810980000000001</v>
      </c>
      <c r="L357" s="5">
        <v>171.80396999999999</v>
      </c>
      <c r="M357" s="5">
        <v>108.88011</v>
      </c>
      <c r="N357">
        <v>82.73243648657251</v>
      </c>
    </row>
    <row r="358" spans="1:14" x14ac:dyDescent="0.2">
      <c r="A358" s="4">
        <v>41518</v>
      </c>
      <c r="B358" s="5">
        <v>142.15685999999999</v>
      </c>
      <c r="C358" s="9">
        <v>112.46850000000001</v>
      </c>
      <c r="D358">
        <v>-1.0491295617067784</v>
      </c>
      <c r="E358">
        <f t="shared" si="10"/>
        <v>-20.207328481845639</v>
      </c>
      <c r="F358" s="9">
        <v>117.07899999999999</v>
      </c>
      <c r="G358" s="20">
        <v>-3.9199591756011081E-3</v>
      </c>
      <c r="H358">
        <f t="shared" si="11"/>
        <v>15.155764253290382</v>
      </c>
      <c r="I358" s="5">
        <v>163.63636</v>
      </c>
      <c r="J358" s="5">
        <v>114.98966</v>
      </c>
      <c r="K358" s="5">
        <v>81.897710000000004</v>
      </c>
      <c r="L358" s="5">
        <v>171.35256999999999</v>
      </c>
      <c r="M358" s="5">
        <v>109.113</v>
      </c>
      <c r="N358">
        <v>82.847919187896835</v>
      </c>
    </row>
    <row r="359" spans="1:14" x14ac:dyDescent="0.2">
      <c r="A359" s="4">
        <v>41548</v>
      </c>
      <c r="B359" s="5">
        <v>145.09804</v>
      </c>
      <c r="C359" s="9">
        <v>112.0625</v>
      </c>
      <c r="D359">
        <v>-1.1052064167900673</v>
      </c>
      <c r="E359">
        <f t="shared" si="10"/>
        <v>-21.287427139110985</v>
      </c>
      <c r="F359" s="9">
        <v>117.075</v>
      </c>
      <c r="G359" s="20">
        <v>8.8278691899376475E-3</v>
      </c>
      <c r="H359">
        <f t="shared" si="11"/>
        <v>-34.131249410541109</v>
      </c>
      <c r="I359" s="5">
        <v>163.63636</v>
      </c>
      <c r="J359" s="5">
        <v>115.05121</v>
      </c>
      <c r="K359" s="5">
        <v>42.697099999999999</v>
      </c>
      <c r="L359" s="5">
        <v>162.08286000000001</v>
      </c>
      <c r="M359" s="5">
        <v>109.37627000000001</v>
      </c>
      <c r="N359">
        <v>82.985254950829869</v>
      </c>
    </row>
    <row r="360" spans="1:14" x14ac:dyDescent="0.2">
      <c r="A360" s="4">
        <v>41579</v>
      </c>
      <c r="B360" s="5">
        <v>146.07843</v>
      </c>
      <c r="C360" s="9">
        <v>112.06100000000001</v>
      </c>
      <c r="D360">
        <v>-1.2829479665314931</v>
      </c>
      <c r="E360">
        <f t="shared" si="10"/>
        <v>-24.710914582029059</v>
      </c>
      <c r="F360" s="9">
        <v>116.682</v>
      </c>
      <c r="G360" s="20">
        <v>0</v>
      </c>
      <c r="H360">
        <f t="shared" si="11"/>
        <v>0</v>
      </c>
      <c r="I360" s="5">
        <v>156.81818000000001</v>
      </c>
      <c r="J360" s="5">
        <v>115.26342</v>
      </c>
      <c r="K360" s="5">
        <v>95.595740000000006</v>
      </c>
      <c r="L360" s="5">
        <v>151.31388000000001</v>
      </c>
      <c r="M360" s="5">
        <v>109.80154</v>
      </c>
      <c r="N360">
        <v>82.901988147100667</v>
      </c>
    </row>
    <row r="361" spans="1:14" x14ac:dyDescent="0.2">
      <c r="A361" s="4">
        <v>41609</v>
      </c>
      <c r="B361" s="5">
        <v>147.05882</v>
      </c>
      <c r="C361" s="9">
        <v>111.2135</v>
      </c>
      <c r="D361">
        <v>-1.3099547315685924</v>
      </c>
      <c r="E361">
        <f t="shared" si="10"/>
        <v>-25.231093015900335</v>
      </c>
      <c r="F361" s="9">
        <v>116.224</v>
      </c>
      <c r="G361" s="20">
        <v>1.1855153238443619E-2</v>
      </c>
      <c r="H361">
        <f t="shared" si="11"/>
        <v>-45.835657877975564</v>
      </c>
      <c r="I361" s="5">
        <v>152.27273</v>
      </c>
      <c r="J361" s="5">
        <v>115.56819</v>
      </c>
      <c r="K361" s="5">
        <v>104.36968</v>
      </c>
      <c r="L361" s="5">
        <v>157.39158</v>
      </c>
      <c r="M361" s="5">
        <v>110.06480000000001</v>
      </c>
      <c r="N361">
        <v>82.630369122764563</v>
      </c>
    </row>
    <row r="362" spans="1:14" x14ac:dyDescent="0.2">
      <c r="A362" s="4">
        <v>41640</v>
      </c>
      <c r="B362" s="5">
        <v>146.07843</v>
      </c>
      <c r="C362" s="9">
        <v>112.4105</v>
      </c>
      <c r="D362">
        <v>-1.143018137812279</v>
      </c>
      <c r="E362">
        <f t="shared" si="10"/>
        <v>-22.015720283302542</v>
      </c>
      <c r="F362" s="9">
        <v>116.529</v>
      </c>
      <c r="G362" s="20">
        <v>8.3644493228023104E-3</v>
      </c>
      <c r="H362">
        <f t="shared" si="11"/>
        <v>-32.339526093545771</v>
      </c>
      <c r="I362" s="5">
        <v>150</v>
      </c>
      <c r="J362" s="5">
        <v>115.84835</v>
      </c>
      <c r="K362" s="5">
        <v>88.287850000000006</v>
      </c>
      <c r="L362" s="5">
        <v>152.53908999999999</v>
      </c>
      <c r="M362" s="5">
        <v>110.36857000000001</v>
      </c>
      <c r="N362">
        <v>82.094669911387044</v>
      </c>
    </row>
    <row r="363" spans="1:14" x14ac:dyDescent="0.2">
      <c r="A363" s="4">
        <v>41671</v>
      </c>
      <c r="B363" s="5">
        <v>143.13724999999999</v>
      </c>
      <c r="C363" s="9">
        <v>113.242</v>
      </c>
      <c r="D363">
        <v>-1.1186752825998871</v>
      </c>
      <c r="E363">
        <f t="shared" si="10"/>
        <v>-21.546851528272366</v>
      </c>
      <c r="F363" s="9">
        <v>116.262</v>
      </c>
      <c r="G363" s="20">
        <v>0</v>
      </c>
      <c r="H363">
        <f t="shared" si="11"/>
        <v>0</v>
      </c>
      <c r="I363" s="5">
        <v>152.27273</v>
      </c>
      <c r="J363" s="5">
        <v>115.97587</v>
      </c>
      <c r="K363" s="5">
        <v>86.251739999999998</v>
      </c>
      <c r="L363" s="5">
        <v>162.53425999999999</v>
      </c>
      <c r="M363" s="5">
        <v>110.5407</v>
      </c>
      <c r="N363">
        <v>81.834535695168867</v>
      </c>
    </row>
    <row r="364" spans="1:14" x14ac:dyDescent="0.2">
      <c r="A364" s="4">
        <v>41699</v>
      </c>
      <c r="B364" s="5">
        <v>139.21569</v>
      </c>
      <c r="C364" s="9">
        <v>112.69149999999999</v>
      </c>
      <c r="D364">
        <v>-0.95520308545507548</v>
      </c>
      <c r="E364">
        <f t="shared" si="10"/>
        <v>-18.398206684083441</v>
      </c>
      <c r="F364" s="9">
        <v>116.94199999999999</v>
      </c>
      <c r="G364" s="20">
        <v>2.5487783836938591E-2</v>
      </c>
      <c r="H364">
        <f t="shared" si="11"/>
        <v>-98.54358830464885</v>
      </c>
      <c r="I364" s="5">
        <v>152.27273</v>
      </c>
      <c r="J364" s="5">
        <v>116.2127</v>
      </c>
      <c r="K364" s="5">
        <v>104.89554</v>
      </c>
      <c r="L364" s="5">
        <v>162.50201999999999</v>
      </c>
      <c r="M364" s="5">
        <v>110.8546</v>
      </c>
      <c r="N364">
        <v>81.853195334642209</v>
      </c>
    </row>
    <row r="365" spans="1:14" x14ac:dyDescent="0.2">
      <c r="A365" s="4">
        <v>41730</v>
      </c>
      <c r="B365" s="5">
        <v>135.29411999999999</v>
      </c>
      <c r="C365" s="9">
        <v>112.956</v>
      </c>
      <c r="D365">
        <v>-0.86175434414900953</v>
      </c>
      <c r="E365">
        <f t="shared" si="10"/>
        <v>-16.598286559142313</v>
      </c>
      <c r="F365" s="9">
        <v>117.02200000000001</v>
      </c>
      <c r="G365" s="20">
        <v>1.1585567683923076E-2</v>
      </c>
      <c r="H365">
        <f t="shared" si="11"/>
        <v>-44.793357454073984</v>
      </c>
      <c r="I365" s="5">
        <v>140.90908999999999</v>
      </c>
      <c r="J365" s="5">
        <v>116.42935</v>
      </c>
      <c r="K365" s="5">
        <v>81.265619999999998</v>
      </c>
      <c r="L365" s="5">
        <v>164.54940999999999</v>
      </c>
      <c r="M365" s="5">
        <v>111.44188</v>
      </c>
      <c r="N365">
        <v>82.191027418824191</v>
      </c>
    </row>
    <row r="366" spans="1:14" x14ac:dyDescent="0.2">
      <c r="A366" s="4">
        <v>41760</v>
      </c>
      <c r="B366" s="5">
        <v>133.33332999999999</v>
      </c>
      <c r="C366" s="9">
        <v>112.5765</v>
      </c>
      <c r="D366">
        <v>-0.81426644175424379</v>
      </c>
      <c r="E366">
        <f t="shared" si="10"/>
        <v>-15.683620079776581</v>
      </c>
      <c r="F366" s="9">
        <v>116.934</v>
      </c>
      <c r="G366" s="20">
        <v>0</v>
      </c>
      <c r="H366">
        <f t="shared" si="11"/>
        <v>0</v>
      </c>
      <c r="I366" s="5">
        <v>143.18181999999999</v>
      </c>
      <c r="J366" s="5">
        <v>116.65091</v>
      </c>
      <c r="K366" s="5">
        <v>93.398759999999996</v>
      </c>
      <c r="L366" s="5">
        <v>164.72675000000001</v>
      </c>
      <c r="M366" s="5">
        <v>111.63426</v>
      </c>
      <c r="N366">
        <v>81.664493696679145</v>
      </c>
    </row>
    <row r="367" spans="1:14" x14ac:dyDescent="0.2">
      <c r="A367" s="4">
        <v>41791</v>
      </c>
      <c r="B367" s="5">
        <v>133.33332999999999</v>
      </c>
      <c r="C367" s="9">
        <v>112.669</v>
      </c>
      <c r="D367">
        <v>-0.81417112212250464</v>
      </c>
      <c r="E367">
        <f t="shared" si="10"/>
        <v>-15.681784124352555</v>
      </c>
      <c r="F367" s="9">
        <v>117.35299999999999</v>
      </c>
      <c r="G367" s="20">
        <v>1.6713610733525536E-2</v>
      </c>
      <c r="H367">
        <f t="shared" si="11"/>
        <v>-64.619944430858311</v>
      </c>
      <c r="I367" s="5">
        <v>138.63636</v>
      </c>
      <c r="J367" s="5">
        <v>116.80502</v>
      </c>
      <c r="K367" s="5">
        <v>48.113819999999997</v>
      </c>
      <c r="L367" s="5">
        <v>170.54651000000001</v>
      </c>
      <c r="M367" s="5">
        <v>112.07979</v>
      </c>
      <c r="N367">
        <v>81.426654436368722</v>
      </c>
    </row>
    <row r="368" spans="1:14" x14ac:dyDescent="0.2">
      <c r="A368" s="4">
        <v>41821</v>
      </c>
      <c r="B368" s="5">
        <v>135.29411999999999</v>
      </c>
      <c r="C368" s="9">
        <v>112.81950000000001</v>
      </c>
      <c r="D368">
        <v>-0.63110729309586866</v>
      </c>
      <c r="E368">
        <f t="shared" si="10"/>
        <v>-12.155784036939556</v>
      </c>
      <c r="F368" s="9">
        <v>117.861</v>
      </c>
      <c r="G368" s="20">
        <v>2.5344750957524715E-3</v>
      </c>
      <c r="H368">
        <f t="shared" si="11"/>
        <v>-9.799057933089248</v>
      </c>
      <c r="I368" s="5">
        <v>140.90908999999999</v>
      </c>
      <c r="J368" s="5">
        <v>116.93648</v>
      </c>
      <c r="K368" s="5">
        <v>88.235650000000007</v>
      </c>
      <c r="L368" s="5">
        <v>166.99984000000001</v>
      </c>
      <c r="M368" s="5">
        <v>112.33293</v>
      </c>
      <c r="N368">
        <v>80.55145316746578</v>
      </c>
    </row>
    <row r="369" spans="1:14" x14ac:dyDescent="0.2">
      <c r="A369" s="4">
        <v>41852</v>
      </c>
      <c r="B369" s="5">
        <v>137.25489999999999</v>
      </c>
      <c r="C369" s="9">
        <v>111.973</v>
      </c>
      <c r="D369">
        <v>-0.49587566641658765</v>
      </c>
      <c r="E369">
        <f t="shared" si="10"/>
        <v>-9.5510820047168608</v>
      </c>
      <c r="F369" s="9">
        <v>117.529</v>
      </c>
      <c r="G369" s="20">
        <v>0</v>
      </c>
      <c r="H369">
        <f t="shared" si="11"/>
        <v>0</v>
      </c>
      <c r="I369" s="5">
        <v>138.63636</v>
      </c>
      <c r="J369" s="5">
        <v>116.91777</v>
      </c>
      <c r="K369" s="5">
        <v>64.271029999999996</v>
      </c>
      <c r="L369" s="5">
        <v>155.63436999999999</v>
      </c>
      <c r="M369" s="5">
        <v>112.66707</v>
      </c>
      <c r="N369">
        <v>80.678799449580069</v>
      </c>
    </row>
    <row r="370" spans="1:14" x14ac:dyDescent="0.2">
      <c r="A370" s="4">
        <v>41883</v>
      </c>
      <c r="B370" s="5">
        <v>137.25489999999999</v>
      </c>
      <c r="C370" s="9">
        <v>111.71850000000001</v>
      </c>
      <c r="D370">
        <v>-0.42119589867885709</v>
      </c>
      <c r="E370">
        <f t="shared" si="10"/>
        <v>-8.1126718667266466</v>
      </c>
      <c r="F370" s="9">
        <v>117.514</v>
      </c>
      <c r="G370" s="20">
        <v>2.4777939221500712E-2</v>
      </c>
      <c r="H370">
        <f t="shared" si="11"/>
        <v>-95.799111342999282</v>
      </c>
      <c r="I370" s="5">
        <v>134.09091000000001</v>
      </c>
      <c r="J370" s="5">
        <v>116.92614</v>
      </c>
      <c r="K370" s="5">
        <v>71.010009999999994</v>
      </c>
      <c r="L370" s="5">
        <v>150.26599999999999</v>
      </c>
      <c r="M370" s="5">
        <v>113.08222000000001</v>
      </c>
      <c r="N370">
        <v>80.159069944511643</v>
      </c>
    </row>
    <row r="371" spans="1:14" x14ac:dyDescent="0.2">
      <c r="A371" s="4">
        <v>41913</v>
      </c>
      <c r="B371" s="5">
        <v>134.31372999999999</v>
      </c>
      <c r="C371" s="9">
        <v>112.80000000000001</v>
      </c>
      <c r="D371">
        <v>-0.34113959324664284</v>
      </c>
      <c r="E371">
        <f t="shared" si="10"/>
        <v>-6.5707040107452377</v>
      </c>
      <c r="F371" s="9">
        <v>117.675</v>
      </c>
      <c r="G371" s="20">
        <v>3.3059358464180164E-2</v>
      </c>
      <c r="H371">
        <f t="shared" si="11"/>
        <v>-127.81761768508784</v>
      </c>
      <c r="I371" s="5">
        <v>129.54544999999999</v>
      </c>
      <c r="J371" s="5">
        <v>116.90300000000001</v>
      </c>
      <c r="K371" s="5">
        <v>89.11815</v>
      </c>
      <c r="L371" s="5">
        <v>136.06319999999999</v>
      </c>
      <c r="M371" s="5">
        <v>113.47712</v>
      </c>
      <c r="N371">
        <v>80.468497325845433</v>
      </c>
    </row>
    <row r="372" spans="1:14" x14ac:dyDescent="0.2">
      <c r="A372" s="4">
        <v>41944</v>
      </c>
      <c r="B372" s="5">
        <v>129.41175999999999</v>
      </c>
      <c r="C372" s="9">
        <v>112.9885</v>
      </c>
      <c r="D372">
        <v>-0.2676222400488763</v>
      </c>
      <c r="E372">
        <f t="shared" si="10"/>
        <v>-5.1546831879535322</v>
      </c>
      <c r="F372" s="9">
        <v>117.157</v>
      </c>
      <c r="G372" s="20">
        <v>0</v>
      </c>
      <c r="H372">
        <f t="shared" si="11"/>
        <v>0</v>
      </c>
      <c r="I372" s="5">
        <v>131.81818000000001</v>
      </c>
      <c r="J372" s="5">
        <v>116.68291000000001</v>
      </c>
      <c r="K372" s="5">
        <v>82.783779999999993</v>
      </c>
      <c r="L372" s="5">
        <v>122.18281</v>
      </c>
      <c r="M372" s="5">
        <v>113.73026</v>
      </c>
      <c r="N372">
        <v>80.19047440063332</v>
      </c>
    </row>
    <row r="373" spans="1:14" x14ac:dyDescent="0.2">
      <c r="A373" s="4">
        <v>41974</v>
      </c>
      <c r="B373" s="5">
        <v>123.52941</v>
      </c>
      <c r="C373" s="9">
        <v>111.94499999999999</v>
      </c>
      <c r="D373">
        <v>5.1213476510013317E-2</v>
      </c>
      <c r="E373">
        <f t="shared" si="10"/>
        <v>0.98642491862636661</v>
      </c>
      <c r="F373" s="9">
        <v>116.30500000000001</v>
      </c>
      <c r="G373" s="20">
        <v>-5.3028913959869133E-2</v>
      </c>
      <c r="H373">
        <f t="shared" si="11"/>
        <v>205.02604302264277</v>
      </c>
      <c r="I373" s="5">
        <v>127.27273</v>
      </c>
      <c r="J373" s="5">
        <v>116.32299</v>
      </c>
      <c r="K373" s="5">
        <v>87.446470000000005</v>
      </c>
      <c r="L373" s="5">
        <v>95.58278</v>
      </c>
      <c r="M373" s="5">
        <v>114.19602999999999</v>
      </c>
      <c r="N373">
        <v>80.628718623289558</v>
      </c>
    </row>
    <row r="374" spans="1:14" x14ac:dyDescent="0.2">
      <c r="A374" s="4">
        <v>42005</v>
      </c>
      <c r="B374" s="5">
        <v>119.60784</v>
      </c>
      <c r="C374" s="9">
        <v>111.78749999999999</v>
      </c>
      <c r="D374">
        <v>0.29458328655125071</v>
      </c>
      <c r="E374">
        <f t="shared" si="10"/>
        <v>5.6739810352103275</v>
      </c>
      <c r="F374" s="9">
        <v>115.35899999999999</v>
      </c>
      <c r="G374" s="20">
        <v>-1.3964878808061679E-3</v>
      </c>
      <c r="H374">
        <f t="shared" si="11"/>
        <v>5.3992503890885102</v>
      </c>
      <c r="I374" s="5">
        <v>129.54544999999999</v>
      </c>
      <c r="J374" s="5">
        <v>115.58198</v>
      </c>
      <c r="K374" s="5">
        <v>71.454639999999998</v>
      </c>
      <c r="L374" s="5">
        <v>76.124459999999999</v>
      </c>
      <c r="M374" s="5">
        <v>114.44917</v>
      </c>
      <c r="N374">
        <v>80.579078896601686</v>
      </c>
    </row>
    <row r="375" spans="1:14" x14ac:dyDescent="0.2">
      <c r="A375" s="4">
        <v>42036</v>
      </c>
      <c r="B375" s="5">
        <v>117.64706</v>
      </c>
      <c r="C375" s="9">
        <v>111.643</v>
      </c>
      <c r="D375">
        <v>0.2514664553015033</v>
      </c>
      <c r="E375">
        <f t="shared" si="10"/>
        <v>4.8435059404636727</v>
      </c>
      <c r="F375" s="9">
        <v>114.956</v>
      </c>
      <c r="G375" s="20">
        <v>0</v>
      </c>
      <c r="H375">
        <f t="shared" si="11"/>
        <v>0</v>
      </c>
      <c r="I375" s="5">
        <v>125</v>
      </c>
      <c r="J375" s="5">
        <v>115.87494</v>
      </c>
      <c r="K375" s="5">
        <v>71.710189999999997</v>
      </c>
      <c r="L375" s="5">
        <v>81.54119</v>
      </c>
      <c r="M375" s="5">
        <v>114.87444000000001</v>
      </c>
      <c r="N375">
        <v>80.960499475725669</v>
      </c>
    </row>
    <row r="376" spans="1:14" x14ac:dyDescent="0.2">
      <c r="A376" s="4">
        <v>42064</v>
      </c>
      <c r="B376" s="5">
        <v>118.62745</v>
      </c>
      <c r="C376" s="9">
        <v>112.14699999999999</v>
      </c>
      <c r="D376">
        <v>0.24550492600213858</v>
      </c>
      <c r="E376">
        <f t="shared" si="10"/>
        <v>4.7286806746400423</v>
      </c>
      <c r="F376" s="9">
        <v>115.59399999999999</v>
      </c>
      <c r="G376" s="20">
        <v>-6.4772527093865065E-2</v>
      </c>
      <c r="H376">
        <f t="shared" si="11"/>
        <v>250.43045265234102</v>
      </c>
      <c r="I376" s="5">
        <v>122.72727</v>
      </c>
      <c r="J376" s="5">
        <v>116.1871</v>
      </c>
      <c r="K376" s="5">
        <v>89.278819999999996</v>
      </c>
      <c r="L376" s="5">
        <v>77.091729999999998</v>
      </c>
      <c r="M376" s="5">
        <v>115.17821000000001</v>
      </c>
      <c r="N376">
        <v>81.069329369178959</v>
      </c>
    </row>
    <row r="377" spans="1:14" x14ac:dyDescent="0.2">
      <c r="A377" s="4">
        <v>42095</v>
      </c>
      <c r="B377" s="5">
        <v>118.62745</v>
      </c>
      <c r="C377" s="9">
        <v>112.205</v>
      </c>
      <c r="D377">
        <v>0.15620708626102886</v>
      </c>
      <c r="E377">
        <f t="shared" si="10"/>
        <v>3.0087112388039126</v>
      </c>
      <c r="F377" s="9">
        <v>115.45399999999999</v>
      </c>
      <c r="G377" s="20">
        <v>5.6537272255054996E-3</v>
      </c>
      <c r="H377">
        <f t="shared" si="11"/>
        <v>-21.859043205221955</v>
      </c>
      <c r="I377" s="5">
        <v>122.72727</v>
      </c>
      <c r="J377" s="5">
        <v>116.30822000000001</v>
      </c>
      <c r="K377" s="5">
        <v>108.69932</v>
      </c>
      <c r="L377" s="5">
        <v>87.780109999999993</v>
      </c>
      <c r="M377" s="5">
        <v>115.51235</v>
      </c>
      <c r="N377">
        <v>81.200812121631643</v>
      </c>
    </row>
    <row r="378" spans="1:14" x14ac:dyDescent="0.2">
      <c r="A378" s="4">
        <v>42125</v>
      </c>
      <c r="B378" s="5">
        <v>118.62745</v>
      </c>
      <c r="C378" s="9">
        <v>112.27449999999999</v>
      </c>
      <c r="D378">
        <v>-4.8967013816738708E-2</v>
      </c>
      <c r="E378">
        <f t="shared" si="10"/>
        <v>-0.94315570648886793</v>
      </c>
      <c r="F378" s="9">
        <v>115.773</v>
      </c>
      <c r="G378" s="20">
        <v>0</v>
      </c>
      <c r="H378">
        <f t="shared" si="11"/>
        <v>0</v>
      </c>
      <c r="I378" s="5">
        <v>127.27273</v>
      </c>
      <c r="J378" s="5">
        <v>116.69177999999999</v>
      </c>
      <c r="K378" s="5">
        <v>91.772090000000006</v>
      </c>
      <c r="L378" s="5">
        <v>95.550539999999998</v>
      </c>
      <c r="M378" s="5">
        <v>115.76549</v>
      </c>
      <c r="N378">
        <v>81.161633638706945</v>
      </c>
    </row>
    <row r="379" spans="1:14" x14ac:dyDescent="0.2">
      <c r="A379" s="4">
        <v>42156</v>
      </c>
      <c r="B379" s="5">
        <v>118.62745</v>
      </c>
      <c r="C379" s="9">
        <v>112.059</v>
      </c>
      <c r="D379">
        <v>-5.8801208759183141E-2</v>
      </c>
      <c r="E379">
        <f t="shared" si="10"/>
        <v>-1.1325725476587869</v>
      </c>
      <c r="F379" s="9">
        <v>115.91200000000001</v>
      </c>
      <c r="G379" s="20">
        <v>-3.8066842320507589E-2</v>
      </c>
      <c r="H379">
        <f t="shared" si="11"/>
        <v>147.17808585042738</v>
      </c>
      <c r="I379" s="5">
        <v>120.45455</v>
      </c>
      <c r="J379" s="5">
        <v>117.01477</v>
      </c>
      <c r="K379" s="5">
        <v>109.05701000000001</v>
      </c>
      <c r="L379" s="5">
        <v>96.437209999999993</v>
      </c>
      <c r="M379" s="5">
        <v>116.19077</v>
      </c>
      <c r="N379">
        <v>80.802824884853138</v>
      </c>
    </row>
    <row r="380" spans="1:14" x14ac:dyDescent="0.2">
      <c r="A380" s="4">
        <v>42186</v>
      </c>
      <c r="B380" s="5">
        <v>118.62745</v>
      </c>
      <c r="C380" s="9">
        <v>113.85300000000001</v>
      </c>
      <c r="D380">
        <v>4.2119001270024797E-2</v>
      </c>
      <c r="E380">
        <f t="shared" si="10"/>
        <v>0.81125584966458364</v>
      </c>
      <c r="F380" s="9">
        <v>117.556</v>
      </c>
      <c r="G380" s="20">
        <v>-3.3778338833160429E-3</v>
      </c>
      <c r="H380">
        <f t="shared" si="11"/>
        <v>13.05974162714692</v>
      </c>
      <c r="I380" s="5">
        <v>118.18182</v>
      </c>
      <c r="J380" s="5">
        <v>117.20039</v>
      </c>
      <c r="K380" s="5">
        <v>70.518889999999999</v>
      </c>
      <c r="L380" s="5">
        <v>82.057069999999996</v>
      </c>
      <c r="M380" s="5">
        <v>116.54516</v>
      </c>
      <c r="N380">
        <v>80.33376333362645</v>
      </c>
    </row>
    <row r="381" spans="1:14" x14ac:dyDescent="0.2">
      <c r="A381" s="4">
        <v>42217</v>
      </c>
      <c r="B381" s="5">
        <v>118.62745</v>
      </c>
      <c r="C381" s="9">
        <v>113.7835</v>
      </c>
      <c r="D381">
        <v>0.22158104136017509</v>
      </c>
      <c r="E381">
        <f t="shared" si="10"/>
        <v>4.2678817293358451</v>
      </c>
      <c r="F381" s="9">
        <v>117.544</v>
      </c>
      <c r="G381" s="20">
        <v>0</v>
      </c>
      <c r="H381">
        <f t="shared" si="11"/>
        <v>0</v>
      </c>
      <c r="I381" s="5">
        <v>115.90909000000001</v>
      </c>
      <c r="J381" s="5">
        <v>117.1999</v>
      </c>
      <c r="K381" s="5">
        <v>60.016979999999997</v>
      </c>
      <c r="L381" s="5">
        <v>69.111720000000005</v>
      </c>
      <c r="M381" s="5">
        <v>116.81855</v>
      </c>
      <c r="N381">
        <v>79.695399569322518</v>
      </c>
    </row>
    <row r="382" spans="1:14" x14ac:dyDescent="0.2">
      <c r="A382" s="4">
        <v>42248</v>
      </c>
      <c r="B382" s="5">
        <v>117.64706</v>
      </c>
      <c r="C382" s="9">
        <v>114.173</v>
      </c>
      <c r="D382">
        <v>0.20684281571748431</v>
      </c>
      <c r="E382">
        <f t="shared" si="10"/>
        <v>3.9840081472046691</v>
      </c>
      <c r="F382" s="9">
        <v>116.904</v>
      </c>
      <c r="G382" s="20">
        <v>-5.824500143636089E-2</v>
      </c>
      <c r="H382">
        <f t="shared" si="11"/>
        <v>225.19303675316468</v>
      </c>
      <c r="I382" s="5">
        <v>113.63636</v>
      </c>
      <c r="J382" s="5">
        <v>116.93648</v>
      </c>
      <c r="K382" s="5">
        <v>110.01154</v>
      </c>
      <c r="L382" s="5">
        <v>73.319360000000003</v>
      </c>
      <c r="M382" s="5">
        <v>117.15269000000001</v>
      </c>
      <c r="N382">
        <v>79.451178180224076</v>
      </c>
    </row>
    <row r="383" spans="1:14" x14ac:dyDescent="0.2">
      <c r="A383" s="4">
        <v>42278</v>
      </c>
      <c r="B383" s="5">
        <v>117.64706</v>
      </c>
      <c r="C383" s="9">
        <v>114.3185</v>
      </c>
      <c r="D383">
        <v>0.20267097547151858</v>
      </c>
      <c r="E383">
        <f t="shared" si="10"/>
        <v>3.9036541572867165</v>
      </c>
      <c r="F383" s="9">
        <v>116.786</v>
      </c>
      <c r="G383" s="20">
        <v>5.3243690767413719E-2</v>
      </c>
      <c r="H383">
        <f t="shared" si="11"/>
        <v>-205.85643602328437</v>
      </c>
      <c r="I383" s="5">
        <v>113.63636</v>
      </c>
      <c r="J383" s="5">
        <v>117.05219</v>
      </c>
      <c r="K383" s="5">
        <v>83.769049999999993</v>
      </c>
      <c r="L383" s="5">
        <v>74.512330000000006</v>
      </c>
      <c r="M383" s="5">
        <v>117.45646000000001</v>
      </c>
      <c r="N383">
        <v>79.555445762486684</v>
      </c>
    </row>
    <row r="384" spans="1:14" x14ac:dyDescent="0.2">
      <c r="A384" s="4">
        <v>42309</v>
      </c>
      <c r="B384" s="5">
        <v>117.64706</v>
      </c>
      <c r="C384" s="9">
        <v>113.73249999999999</v>
      </c>
      <c r="D384">
        <v>0.45939550956529718</v>
      </c>
      <c r="E384">
        <f t="shared" si="10"/>
        <v>8.8484361738587367</v>
      </c>
      <c r="F384" s="9">
        <v>116.578</v>
      </c>
      <c r="G384" s="20">
        <v>0</v>
      </c>
      <c r="H384">
        <f t="shared" si="11"/>
        <v>0</v>
      </c>
      <c r="I384" s="5">
        <v>115.90909000000001</v>
      </c>
      <c r="J384" s="5">
        <v>117.19202</v>
      </c>
      <c r="K384" s="5">
        <v>83.120230000000006</v>
      </c>
      <c r="L384" s="5">
        <v>68.418509999999998</v>
      </c>
      <c r="M384" s="5">
        <v>117.70959999999999</v>
      </c>
      <c r="N384">
        <v>79.861194674815309</v>
      </c>
    </row>
    <row r="385" spans="1:14" x14ac:dyDescent="0.2">
      <c r="A385" s="4">
        <v>42339</v>
      </c>
      <c r="B385" s="5">
        <v>116.66667</v>
      </c>
      <c r="C385" s="9">
        <v>114.2115</v>
      </c>
      <c r="D385">
        <v>0.71519158028646768</v>
      </c>
      <c r="E385">
        <f t="shared" si="10"/>
        <v>13.775335018477112</v>
      </c>
      <c r="F385" s="9">
        <v>116.12</v>
      </c>
      <c r="G385" s="20">
        <v>2.8674873770606873E-2</v>
      </c>
      <c r="H385">
        <f t="shared" si="11"/>
        <v>-110.86585532961202</v>
      </c>
      <c r="I385" s="5">
        <v>113.63636</v>
      </c>
      <c r="J385" s="5">
        <v>117.06598</v>
      </c>
      <c r="K385" s="5">
        <v>67.315659999999994</v>
      </c>
      <c r="L385" s="5">
        <v>59.954859999999996</v>
      </c>
      <c r="M385" s="5">
        <v>118.08423999999999</v>
      </c>
      <c r="N385">
        <v>79.847616340581865</v>
      </c>
    </row>
    <row r="386" spans="1:14" x14ac:dyDescent="0.2">
      <c r="A386" s="4">
        <v>42370</v>
      </c>
      <c r="B386" s="5">
        <v>114.70587999999999</v>
      </c>
      <c r="C386" s="9">
        <v>114.0575</v>
      </c>
      <c r="D386">
        <v>0.72740241535832639</v>
      </c>
      <c r="E386">
        <f t="shared" si="10"/>
        <v>14.010528424840828</v>
      </c>
      <c r="F386" s="9">
        <v>115.994</v>
      </c>
      <c r="G386" s="20">
        <v>-2.2958882236333675E-2</v>
      </c>
      <c r="H386">
        <f t="shared" si="11"/>
        <v>88.766079212947787</v>
      </c>
      <c r="I386" s="5">
        <v>109.09090999999999</v>
      </c>
      <c r="J386" s="5">
        <v>117.01231</v>
      </c>
      <c r="K386" s="5">
        <v>99.371499999999997</v>
      </c>
      <c r="L386" s="5">
        <v>51.07206</v>
      </c>
      <c r="M386" s="5">
        <v>118.42851</v>
      </c>
      <c r="N386">
        <v>79.705575523913012</v>
      </c>
    </row>
    <row r="387" spans="1:14" x14ac:dyDescent="0.2">
      <c r="A387" s="4">
        <v>42401</v>
      </c>
      <c r="B387" s="5">
        <v>113.72548999999999</v>
      </c>
      <c r="C387" s="9">
        <v>114.3445</v>
      </c>
      <c r="D387">
        <v>0.71031560123595616</v>
      </c>
      <c r="E387">
        <f t="shared" ref="E387:E450" si="12">(D387 / $D$277) * 100</f>
        <v>13.681418581517708</v>
      </c>
      <c r="F387" s="9">
        <v>115.518</v>
      </c>
      <c r="G387" s="20">
        <v>0</v>
      </c>
      <c r="H387">
        <f t="shared" ref="H387:H450" si="13">(G387 / G$277) * 100</f>
        <v>0</v>
      </c>
      <c r="I387" s="5">
        <v>111.36364</v>
      </c>
      <c r="J387" s="5">
        <v>116.85672</v>
      </c>
      <c r="K387" s="5">
        <v>93.108459999999994</v>
      </c>
      <c r="L387" s="5">
        <v>48.879570000000001</v>
      </c>
      <c r="M387" s="5">
        <v>118.68165</v>
      </c>
      <c r="N387">
        <v>79.465024721093641</v>
      </c>
    </row>
    <row r="388" spans="1:14" x14ac:dyDescent="0.2">
      <c r="A388" s="4">
        <v>42430</v>
      </c>
      <c r="B388" s="5">
        <v>112.74509999999999</v>
      </c>
      <c r="C388" s="9">
        <v>114.52500000000001</v>
      </c>
      <c r="D388">
        <v>0.83491010206681704</v>
      </c>
      <c r="E388">
        <f t="shared" si="12"/>
        <v>16.081238486720679</v>
      </c>
      <c r="F388" s="9">
        <v>114.93600000000001</v>
      </c>
      <c r="G388" s="20">
        <v>-8.2446650758401005E-2</v>
      </c>
      <c r="H388">
        <f t="shared" si="13"/>
        <v>318.76403462188574</v>
      </c>
      <c r="I388" s="5">
        <v>113.63636</v>
      </c>
      <c r="J388" s="5">
        <v>117.22304</v>
      </c>
      <c r="K388" s="5">
        <v>81.525099999999995</v>
      </c>
      <c r="L388" s="5">
        <v>60.535220000000002</v>
      </c>
      <c r="M388" s="5">
        <v>118.90441</v>
      </c>
      <c r="N388">
        <v>79.394809802587616</v>
      </c>
    </row>
    <row r="389" spans="1:14" x14ac:dyDescent="0.2">
      <c r="A389" s="4">
        <v>42461</v>
      </c>
      <c r="B389" s="5">
        <v>112.74509999999999</v>
      </c>
      <c r="C389" s="9">
        <v>114.75149999999999</v>
      </c>
      <c r="D389">
        <v>0.71036083776442505</v>
      </c>
      <c r="E389">
        <f t="shared" si="12"/>
        <v>13.682289884189478</v>
      </c>
      <c r="F389" s="9">
        <v>115.246</v>
      </c>
      <c r="G389" s="20">
        <v>1.805096521238261E-2</v>
      </c>
      <c r="H389">
        <f t="shared" si="13"/>
        <v>-69.790566954377766</v>
      </c>
      <c r="I389" s="5">
        <v>115.90909000000001</v>
      </c>
      <c r="J389" s="5">
        <v>117.67207999999999</v>
      </c>
      <c r="K389" s="5">
        <v>140.35636</v>
      </c>
      <c r="L389" s="5">
        <v>65.694019999999995</v>
      </c>
      <c r="M389" s="5">
        <v>119.15755</v>
      </c>
      <c r="N389">
        <v>79.197897653666473</v>
      </c>
    </row>
    <row r="390" spans="1:14" x14ac:dyDescent="0.2">
      <c r="A390" s="4">
        <v>42491</v>
      </c>
      <c r="B390" s="5">
        <v>113.72548999999999</v>
      </c>
      <c r="C390" s="9">
        <v>113.3475</v>
      </c>
      <c r="D390">
        <v>0.77333465946111324</v>
      </c>
      <c r="E390">
        <f t="shared" si="12"/>
        <v>14.895231304610359</v>
      </c>
      <c r="F390" s="9">
        <v>115.33</v>
      </c>
      <c r="G390" s="20">
        <v>0</v>
      </c>
      <c r="H390">
        <f t="shared" si="13"/>
        <v>0</v>
      </c>
      <c r="I390" s="5">
        <v>109.09090999999999</v>
      </c>
      <c r="J390" s="5">
        <v>117.95027</v>
      </c>
      <c r="K390" s="5">
        <v>120.36188</v>
      </c>
      <c r="L390" s="5">
        <v>75.302269999999993</v>
      </c>
      <c r="M390" s="5">
        <v>119.54232</v>
      </c>
      <c r="N390">
        <v>79.186883999902832</v>
      </c>
    </row>
    <row r="391" spans="1:14" x14ac:dyDescent="0.2">
      <c r="A391" s="4">
        <v>42522</v>
      </c>
      <c r="B391" s="5">
        <v>113.72548999999999</v>
      </c>
      <c r="C391" s="9">
        <v>114.117</v>
      </c>
      <c r="D391">
        <v>0.90542322968288924</v>
      </c>
      <c r="E391">
        <f t="shared" si="12"/>
        <v>17.439394794605281</v>
      </c>
      <c r="F391" s="9">
        <v>116.124</v>
      </c>
      <c r="G391" s="20">
        <v>-3.9576200233639031E-2</v>
      </c>
      <c r="H391">
        <f t="shared" si="13"/>
        <v>153.0137263967988</v>
      </c>
      <c r="I391" s="5">
        <v>111.36364</v>
      </c>
      <c r="J391" s="5">
        <v>118.2777</v>
      </c>
      <c r="K391" s="5">
        <v>77.173159999999996</v>
      </c>
      <c r="L391" s="5">
        <v>78.607129999999998</v>
      </c>
      <c r="M391" s="5">
        <v>119.77521</v>
      </c>
      <c r="N391">
        <v>79.000813301732848</v>
      </c>
    </row>
    <row r="392" spans="1:14" x14ac:dyDescent="0.2">
      <c r="A392" s="4">
        <v>42552</v>
      </c>
      <c r="B392" s="5">
        <v>114.70587999999999</v>
      </c>
      <c r="C392" s="9">
        <v>113.74549999999999</v>
      </c>
      <c r="D392">
        <v>0.94389722074873628</v>
      </c>
      <c r="E392">
        <f t="shared" si="12"/>
        <v>18.180443949878686</v>
      </c>
      <c r="F392" s="9">
        <v>115.958</v>
      </c>
      <c r="G392" s="20">
        <v>1.5516530660481715E-2</v>
      </c>
      <c r="H392">
        <f t="shared" si="13"/>
        <v>-59.991665776251743</v>
      </c>
      <c r="I392" s="5">
        <v>109.09090999999999</v>
      </c>
      <c r="J392" s="5">
        <v>118.21812</v>
      </c>
      <c r="K392" s="5">
        <v>91.363870000000006</v>
      </c>
      <c r="L392" s="5">
        <v>71.981300000000005</v>
      </c>
      <c r="M392" s="5">
        <v>120.14986</v>
      </c>
      <c r="N392">
        <v>78.990304122760818</v>
      </c>
    </row>
    <row r="393" spans="1:14" x14ac:dyDescent="0.2">
      <c r="A393" s="4">
        <v>42583</v>
      </c>
      <c r="B393" s="5">
        <v>115.68626999999999</v>
      </c>
      <c r="C393" s="9">
        <v>113.69200000000001</v>
      </c>
      <c r="D393">
        <v>0.96629364767791603</v>
      </c>
      <c r="E393">
        <f t="shared" si="12"/>
        <v>18.611822468125109</v>
      </c>
      <c r="F393" s="9">
        <v>115.866</v>
      </c>
      <c r="G393" s="20">
        <v>0</v>
      </c>
      <c r="H393">
        <f t="shared" si="13"/>
        <v>0</v>
      </c>
      <c r="I393" s="5">
        <v>111.36364</v>
      </c>
      <c r="J393" s="5">
        <v>118.43673</v>
      </c>
      <c r="K393" s="5">
        <v>100.62461999999999</v>
      </c>
      <c r="L393" s="5">
        <v>72.094149999999999</v>
      </c>
      <c r="M393" s="5">
        <v>120.38275</v>
      </c>
      <c r="N393">
        <v>78.816518145355531</v>
      </c>
    </row>
    <row r="394" spans="1:14" x14ac:dyDescent="0.2">
      <c r="A394" s="4">
        <v>42614</v>
      </c>
      <c r="B394" s="5">
        <v>117.64706</v>
      </c>
      <c r="C394" s="9">
        <v>113.2775</v>
      </c>
      <c r="D394">
        <v>0.90784493522223919</v>
      </c>
      <c r="E394">
        <f t="shared" si="12"/>
        <v>17.486039366549605</v>
      </c>
      <c r="F394" s="9">
        <v>115.97</v>
      </c>
      <c r="G394" s="20">
        <v>-2.3141848927713995E-2</v>
      </c>
      <c r="H394">
        <f t="shared" si="13"/>
        <v>89.473484549723892</v>
      </c>
      <c r="I394" s="5">
        <v>113.63636</v>
      </c>
      <c r="J394" s="5">
        <v>118.74742000000001</v>
      </c>
      <c r="K394" s="5">
        <v>91.663430000000005</v>
      </c>
      <c r="L394" s="5">
        <v>72.835719999999995</v>
      </c>
      <c r="M394" s="5">
        <v>120.66625999999999</v>
      </c>
      <c r="N394">
        <v>78.726452321875243</v>
      </c>
    </row>
    <row r="395" spans="1:14" x14ac:dyDescent="0.2">
      <c r="A395" s="4">
        <v>42644</v>
      </c>
      <c r="B395" s="5">
        <v>118.62745</v>
      </c>
      <c r="C395" s="9">
        <v>113.2645</v>
      </c>
      <c r="D395">
        <v>0.76671385004512627</v>
      </c>
      <c r="E395">
        <f t="shared" si="12"/>
        <v>14.767707616814457</v>
      </c>
      <c r="F395" s="9">
        <v>116.32899999999999</v>
      </c>
      <c r="G395" s="20">
        <v>0</v>
      </c>
      <c r="H395">
        <f t="shared" si="13"/>
        <v>0</v>
      </c>
      <c r="I395" s="5">
        <v>111.36364</v>
      </c>
      <c r="J395" s="5">
        <v>119.0256</v>
      </c>
      <c r="K395" s="5">
        <v>74.041129999999995</v>
      </c>
      <c r="L395" s="5">
        <v>80.251490000000004</v>
      </c>
      <c r="M395" s="5">
        <v>120.97002999999999</v>
      </c>
      <c r="N395">
        <v>78.689337459917411</v>
      </c>
    </row>
    <row r="396" spans="1:14" x14ac:dyDescent="0.2">
      <c r="A396" s="4">
        <v>42675</v>
      </c>
      <c r="B396" s="5">
        <v>117.64706</v>
      </c>
      <c r="C396" s="9">
        <v>113.4555</v>
      </c>
      <c r="D396">
        <v>0.62955729595587806</v>
      </c>
      <c r="E396">
        <f t="shared" si="12"/>
        <v>12.125929477029189</v>
      </c>
      <c r="F396" s="9">
        <v>116.52200000000001</v>
      </c>
      <c r="G396" s="20">
        <v>1.1542875398356009E-2</v>
      </c>
      <c r="H396">
        <f t="shared" si="13"/>
        <v>-44.628295986210766</v>
      </c>
      <c r="I396" s="5">
        <v>106.81818</v>
      </c>
      <c r="J396" s="5">
        <v>119.16593</v>
      </c>
      <c r="K396" s="5">
        <v>90.214259999999996</v>
      </c>
      <c r="L396" s="5">
        <v>73.609539999999996</v>
      </c>
      <c r="M396" s="5">
        <v>121.33454999999999</v>
      </c>
      <c r="N396">
        <v>78.162126344988422</v>
      </c>
    </row>
    <row r="397" spans="1:14" x14ac:dyDescent="0.2">
      <c r="A397" s="4">
        <v>42705</v>
      </c>
      <c r="B397" s="5">
        <v>116.66667</v>
      </c>
      <c r="C397" s="9">
        <v>113.5805</v>
      </c>
      <c r="D397">
        <v>0.79939950461184273</v>
      </c>
      <c r="E397">
        <f t="shared" si="12"/>
        <v>15.397267380052144</v>
      </c>
      <c r="F397" s="9">
        <v>116.646</v>
      </c>
      <c r="G397" s="20">
        <v>4.6861570815314564E-2</v>
      </c>
      <c r="H397">
        <f t="shared" si="13"/>
        <v>-181.18120317078834</v>
      </c>
      <c r="I397" s="5">
        <v>106.81818</v>
      </c>
      <c r="J397" s="5">
        <v>119.46677</v>
      </c>
      <c r="K397" s="5">
        <v>74.788120000000006</v>
      </c>
      <c r="L397" s="5">
        <v>83.782039999999995</v>
      </c>
      <c r="M397" s="5">
        <v>121.60794</v>
      </c>
      <c r="N397">
        <v>78.062328449986623</v>
      </c>
    </row>
    <row r="398" spans="1:14" x14ac:dyDescent="0.2">
      <c r="A398" s="4">
        <v>42736</v>
      </c>
      <c r="B398" s="5">
        <v>115.68626999999999</v>
      </c>
      <c r="C398" s="9">
        <v>113.2405</v>
      </c>
      <c r="D398">
        <v>0.88012392460824163</v>
      </c>
      <c r="E398">
        <f t="shared" si="12"/>
        <v>16.952103818670782</v>
      </c>
      <c r="F398" s="9">
        <v>116.834</v>
      </c>
      <c r="G398" s="20">
        <v>0</v>
      </c>
      <c r="H398">
        <f t="shared" si="13"/>
        <v>0</v>
      </c>
      <c r="I398" s="5">
        <v>106.81818</v>
      </c>
      <c r="J398" s="5">
        <v>119.94978</v>
      </c>
      <c r="K398" s="5">
        <v>126.07768</v>
      </c>
      <c r="L398" s="5">
        <v>84.636470000000003</v>
      </c>
      <c r="M398" s="5">
        <v>121.89145000000001</v>
      </c>
      <c r="N398">
        <v>77.385406113146431</v>
      </c>
    </row>
    <row r="399" spans="1:14" x14ac:dyDescent="0.2">
      <c r="A399" s="4">
        <v>42767</v>
      </c>
      <c r="B399" s="5">
        <v>112.74509999999999</v>
      </c>
      <c r="C399" s="9">
        <v>114.3455</v>
      </c>
      <c r="D399">
        <v>0.86462681067898528</v>
      </c>
      <c r="E399">
        <f t="shared" si="12"/>
        <v>16.653613257429129</v>
      </c>
      <c r="F399" s="9">
        <v>117.41200000000001</v>
      </c>
      <c r="G399" s="20">
        <v>-1.3961445190836093E-2</v>
      </c>
      <c r="H399">
        <f t="shared" si="13"/>
        <v>53.979228473750432</v>
      </c>
      <c r="I399" s="5">
        <v>104.54545</v>
      </c>
      <c r="J399" s="5">
        <v>120.14082000000001</v>
      </c>
      <c r="K399" s="5">
        <v>120.79582000000001</v>
      </c>
      <c r="L399" s="5">
        <v>86.200230000000005</v>
      </c>
      <c r="M399" s="5">
        <v>122.23572</v>
      </c>
      <c r="N399">
        <v>77.60547890736612</v>
      </c>
    </row>
    <row r="400" spans="1:14" x14ac:dyDescent="0.2">
      <c r="A400" s="4">
        <v>42795</v>
      </c>
      <c r="B400" s="5">
        <v>109.80392000000001</v>
      </c>
      <c r="C400" s="9">
        <v>114.84299999999999</v>
      </c>
      <c r="D400">
        <v>0.98366385530397238</v>
      </c>
      <c r="E400">
        <f t="shared" si="12"/>
        <v>18.946390765606449</v>
      </c>
      <c r="F400" s="9">
        <v>117.307</v>
      </c>
      <c r="G400" s="20">
        <v>-5.0974476571208661E-2</v>
      </c>
      <c r="H400">
        <f t="shared" si="13"/>
        <v>197.08295807178763</v>
      </c>
      <c r="I400" s="5">
        <v>100</v>
      </c>
      <c r="J400" s="5">
        <v>120.08468999999999</v>
      </c>
      <c r="K400" s="5">
        <v>70.238519999999994</v>
      </c>
      <c r="L400" s="5">
        <v>79.526039999999995</v>
      </c>
      <c r="M400" s="5">
        <v>122.60024</v>
      </c>
      <c r="N400">
        <v>77.22970305471884</v>
      </c>
    </row>
    <row r="401" spans="1:14" x14ac:dyDescent="0.2">
      <c r="A401" s="4">
        <v>42826</v>
      </c>
      <c r="B401" s="5">
        <v>106.86275000000001</v>
      </c>
      <c r="C401" s="9">
        <v>114.41749999999999</v>
      </c>
      <c r="D401">
        <v>1.0299968083553026</v>
      </c>
      <c r="E401">
        <f t="shared" si="12"/>
        <v>19.838811717237054</v>
      </c>
      <c r="F401" s="9">
        <v>117.39</v>
      </c>
      <c r="G401" s="20">
        <v>0</v>
      </c>
      <c r="H401">
        <f t="shared" si="13"/>
        <v>0</v>
      </c>
      <c r="I401" s="5">
        <v>100</v>
      </c>
      <c r="J401" s="5">
        <v>120.23289</v>
      </c>
      <c r="K401" s="5">
        <v>57.003549999999997</v>
      </c>
      <c r="L401" s="5">
        <v>82.315010000000001</v>
      </c>
      <c r="M401" s="5">
        <v>122.86351000000001</v>
      </c>
      <c r="N401">
        <v>77.293476049981663</v>
      </c>
    </row>
    <row r="402" spans="1:14" x14ac:dyDescent="0.2">
      <c r="A402" s="4">
        <v>42856</v>
      </c>
      <c r="B402" s="5">
        <v>103.92157</v>
      </c>
      <c r="C402" s="9">
        <v>113.9755</v>
      </c>
      <c r="D402">
        <v>1.1014849469079542</v>
      </c>
      <c r="E402">
        <f t="shared" si="12"/>
        <v>21.21574775165686</v>
      </c>
      <c r="F402" s="9">
        <v>117.974</v>
      </c>
      <c r="G402" s="20">
        <v>2.0820861255480088E-2</v>
      </c>
      <c r="H402">
        <f t="shared" si="13"/>
        <v>-80.499834463233853</v>
      </c>
      <c r="I402" s="5">
        <v>100</v>
      </c>
      <c r="J402" s="5">
        <v>120.13983</v>
      </c>
      <c r="K402" s="5">
        <v>77.533770000000004</v>
      </c>
      <c r="L402" s="5">
        <v>78.155730000000005</v>
      </c>
      <c r="M402" s="5">
        <v>123.15715</v>
      </c>
      <c r="N402">
        <v>77.121814648680569</v>
      </c>
    </row>
    <row r="403" spans="1:14" x14ac:dyDescent="0.2">
      <c r="A403" s="4">
        <v>42887</v>
      </c>
      <c r="B403" s="5">
        <v>101.96078</v>
      </c>
      <c r="C403" s="9">
        <v>114.29849999999999</v>
      </c>
      <c r="D403">
        <v>1.2840844644461478</v>
      </c>
      <c r="E403">
        <f t="shared" si="12"/>
        <v>24.732804716020702</v>
      </c>
      <c r="F403" s="9">
        <v>118.34399999999999</v>
      </c>
      <c r="G403" s="20">
        <v>2.853031525367207E-2</v>
      </c>
      <c r="H403">
        <f t="shared" si="13"/>
        <v>-110.3069477733533</v>
      </c>
      <c r="I403" s="5">
        <v>97.727270000000004</v>
      </c>
      <c r="J403" s="5">
        <v>120.21812</v>
      </c>
      <c r="K403" s="5">
        <v>69.594620000000006</v>
      </c>
      <c r="L403" s="5">
        <v>72.835719999999995</v>
      </c>
      <c r="M403" s="5">
        <v>123.53179</v>
      </c>
      <c r="N403">
        <v>77.185124873818594</v>
      </c>
    </row>
    <row r="404" spans="1:14" x14ac:dyDescent="0.2">
      <c r="A404" s="4">
        <v>42917</v>
      </c>
      <c r="B404" s="5">
        <v>101.96078</v>
      </c>
      <c r="C404" s="9">
        <v>113.60499999999999</v>
      </c>
      <c r="D404">
        <v>1.2088573940126399</v>
      </c>
      <c r="E404">
        <f t="shared" si="12"/>
        <v>23.283852957856734</v>
      </c>
      <c r="F404" s="9">
        <v>117.89700000000001</v>
      </c>
      <c r="G404" s="20">
        <v>-3.3930812515435521E-3</v>
      </c>
      <c r="H404">
        <f t="shared" si="13"/>
        <v>13.118692628416929</v>
      </c>
      <c r="I404" s="5">
        <v>97.727270000000004</v>
      </c>
      <c r="J404" s="5">
        <v>120.25751</v>
      </c>
      <c r="K404" s="5">
        <v>77.859380000000002</v>
      </c>
      <c r="L404" s="5">
        <v>75.173299999999998</v>
      </c>
      <c r="M404" s="5">
        <v>123.83556</v>
      </c>
      <c r="N404">
        <v>77.021259120916682</v>
      </c>
    </row>
    <row r="405" spans="1:14" x14ac:dyDescent="0.2">
      <c r="A405" s="4">
        <v>42948</v>
      </c>
      <c r="B405" s="5">
        <v>102.94118</v>
      </c>
      <c r="C405" s="9">
        <v>114.2865</v>
      </c>
      <c r="D405">
        <v>1.2474752386100638</v>
      </c>
      <c r="E405">
        <f t="shared" si="12"/>
        <v>24.027672882034143</v>
      </c>
      <c r="F405" s="9">
        <v>118.17700000000001</v>
      </c>
      <c r="G405" s="20">
        <v>0</v>
      </c>
      <c r="H405">
        <f t="shared" si="13"/>
        <v>0</v>
      </c>
      <c r="I405" s="5">
        <v>100</v>
      </c>
      <c r="J405" s="5">
        <v>120.72033</v>
      </c>
      <c r="K405" s="5">
        <v>83.460620000000006</v>
      </c>
      <c r="L405" s="5">
        <v>77.446399999999997</v>
      </c>
      <c r="M405" s="5">
        <v>124.04819999999999</v>
      </c>
      <c r="N405">
        <v>77.020843622748572</v>
      </c>
    </row>
    <row r="406" spans="1:14" x14ac:dyDescent="0.2">
      <c r="A406" s="4">
        <v>42979</v>
      </c>
      <c r="B406" s="5">
        <v>104.90196</v>
      </c>
      <c r="C406" s="9">
        <v>114.44200000000001</v>
      </c>
      <c r="D406">
        <v>1.2657406146790731</v>
      </c>
      <c r="E406">
        <f t="shared" si="12"/>
        <v>24.379483056432861</v>
      </c>
      <c r="F406" s="9">
        <v>118.923</v>
      </c>
      <c r="G406" s="20">
        <v>5.8040020133450998E-2</v>
      </c>
      <c r="H406">
        <f t="shared" si="13"/>
        <v>-224.40051617729458</v>
      </c>
      <c r="I406" s="5">
        <v>97.727270000000004</v>
      </c>
      <c r="J406" s="5">
        <v>121.33678</v>
      </c>
      <c r="K406" s="5">
        <v>105.3094</v>
      </c>
      <c r="L406" s="5">
        <v>80.315979999999996</v>
      </c>
      <c r="M406" s="5">
        <v>124.37222</v>
      </c>
      <c r="N406">
        <v>72.615531137525522</v>
      </c>
    </row>
    <row r="407" spans="1:14" x14ac:dyDescent="0.2">
      <c r="A407" s="4">
        <v>43009</v>
      </c>
      <c r="B407" s="5">
        <v>110.78431</v>
      </c>
      <c r="C407" s="9">
        <v>114.4605</v>
      </c>
      <c r="D407">
        <v>1.4051251801246429</v>
      </c>
      <c r="E407">
        <f t="shared" si="12"/>
        <v>27.064175016380847</v>
      </c>
      <c r="F407" s="9">
        <v>118.925</v>
      </c>
      <c r="G407" s="20">
        <v>0</v>
      </c>
      <c r="H407">
        <f t="shared" si="13"/>
        <v>0</v>
      </c>
      <c r="I407" s="5">
        <v>95.454549999999998</v>
      </c>
      <c r="J407" s="5">
        <v>121.43082</v>
      </c>
      <c r="K407" s="5">
        <v>88.971620000000001</v>
      </c>
      <c r="L407" s="5">
        <v>83.153310000000005</v>
      </c>
      <c r="M407" s="5">
        <v>124.65573000000001</v>
      </c>
      <c r="N407">
        <v>64.861507492597823</v>
      </c>
    </row>
    <row r="408" spans="1:14" x14ac:dyDescent="0.2">
      <c r="A408" s="4">
        <v>43040</v>
      </c>
      <c r="B408" s="5">
        <v>106.86275000000001</v>
      </c>
      <c r="C408" s="9">
        <v>113.3325</v>
      </c>
      <c r="D408">
        <v>1.7049830641548822</v>
      </c>
      <c r="E408">
        <f t="shared" si="12"/>
        <v>32.839750294816994</v>
      </c>
      <c r="F408" s="9">
        <v>117.967</v>
      </c>
      <c r="G408" s="20">
        <v>1.3637050889339577E-2</v>
      </c>
      <c r="H408">
        <f t="shared" si="13"/>
        <v>-52.725020626588837</v>
      </c>
      <c r="I408" s="5">
        <v>95.454549999999998</v>
      </c>
      <c r="J408" s="5">
        <v>121.7548</v>
      </c>
      <c r="K408" s="5">
        <v>88.80395</v>
      </c>
      <c r="L408" s="5">
        <v>91.310659999999999</v>
      </c>
      <c r="M408" s="5">
        <v>124.95950000000001</v>
      </c>
      <c r="N408">
        <v>61.157301320087434</v>
      </c>
    </row>
    <row r="409" spans="1:14" x14ac:dyDescent="0.2">
      <c r="A409" s="4">
        <v>43070</v>
      </c>
      <c r="B409" s="5">
        <v>104.90196</v>
      </c>
      <c r="C409" s="9">
        <v>113.821</v>
      </c>
      <c r="D409">
        <v>1.9356332005702857</v>
      </c>
      <c r="E409">
        <f t="shared" si="12"/>
        <v>37.282312244311669</v>
      </c>
      <c r="F409" s="9">
        <v>117.971</v>
      </c>
      <c r="G409" s="20">
        <v>8.1054374542316367E-4</v>
      </c>
      <c r="H409">
        <f t="shared" si="13"/>
        <v>-3.1338106782014443</v>
      </c>
      <c r="I409" s="5">
        <v>93.181820000000002</v>
      </c>
      <c r="J409" s="5">
        <v>122.01132</v>
      </c>
      <c r="K409" s="5">
        <v>108.44604</v>
      </c>
      <c r="L409" s="5">
        <v>93.309690000000003</v>
      </c>
      <c r="M409" s="5">
        <v>125.30377</v>
      </c>
      <c r="N409">
        <v>64.27464593942608</v>
      </c>
    </row>
    <row r="410" spans="1:14" x14ac:dyDescent="0.2">
      <c r="A410" s="4">
        <v>43101</v>
      </c>
      <c r="B410" s="5">
        <v>101.96078</v>
      </c>
      <c r="C410" s="9">
        <v>113.202</v>
      </c>
      <c r="D410">
        <v>2.0511538865253733</v>
      </c>
      <c r="E410">
        <f t="shared" si="12"/>
        <v>39.507361020694375</v>
      </c>
      <c r="F410" s="9">
        <v>119.03400000000001</v>
      </c>
      <c r="G410" s="20">
        <v>1.6245906755268651E-2</v>
      </c>
      <c r="H410">
        <f t="shared" si="13"/>
        <v>-62.811657426517144</v>
      </c>
      <c r="I410" s="5">
        <v>90.909090000000006</v>
      </c>
      <c r="J410" s="5">
        <v>122.53028</v>
      </c>
      <c r="K410" s="5">
        <v>152.99684999999999</v>
      </c>
      <c r="L410" s="5">
        <v>102.69225</v>
      </c>
      <c r="M410" s="5">
        <v>125.58728000000001</v>
      </c>
      <c r="N410">
        <v>71.76951570181302</v>
      </c>
    </row>
    <row r="411" spans="1:14" x14ac:dyDescent="0.2">
      <c r="A411" s="4">
        <v>43132</v>
      </c>
      <c r="B411" s="5">
        <v>100</v>
      </c>
      <c r="C411" s="9">
        <v>113.38849999999999</v>
      </c>
      <c r="D411">
        <v>2.0808453409048866</v>
      </c>
      <c r="E411">
        <f t="shared" si="12"/>
        <v>40.079249368568661</v>
      </c>
      <c r="F411" s="9">
        <v>119.164</v>
      </c>
      <c r="G411" s="20">
        <v>0</v>
      </c>
      <c r="H411">
        <f t="shared" si="13"/>
        <v>0</v>
      </c>
      <c r="I411" s="5">
        <v>93.181820000000002</v>
      </c>
      <c r="J411" s="5">
        <v>122.86017</v>
      </c>
      <c r="K411" s="5">
        <v>73.867000000000004</v>
      </c>
      <c r="L411" s="5">
        <v>100.32241999999999</v>
      </c>
      <c r="M411" s="5">
        <v>125.93155</v>
      </c>
      <c r="N411">
        <v>74.989774416133727</v>
      </c>
    </row>
    <row r="412" spans="1:14" x14ac:dyDescent="0.2">
      <c r="A412" s="4">
        <v>43160</v>
      </c>
      <c r="B412" s="5">
        <v>97.058819999999997</v>
      </c>
      <c r="C412" s="9">
        <v>113.5335</v>
      </c>
      <c r="D412">
        <v>2.3588418446117427</v>
      </c>
      <c r="E412">
        <f t="shared" si="12"/>
        <v>45.433751683869076</v>
      </c>
      <c r="F412" s="9">
        <v>119.133</v>
      </c>
      <c r="G412" s="20">
        <v>3.5552676234003816E-3</v>
      </c>
      <c r="H412">
        <f t="shared" si="13"/>
        <v>-13.745754877498047</v>
      </c>
      <c r="I412" s="5">
        <v>90.909090000000006</v>
      </c>
      <c r="J412" s="5">
        <v>122.88379999999999</v>
      </c>
      <c r="K412" s="5">
        <v>71.981899999999996</v>
      </c>
      <c r="L412" s="5">
        <v>101.12849</v>
      </c>
      <c r="M412" s="5">
        <v>126.32644999999999</v>
      </c>
      <c r="N412">
        <v>76.063036641297913</v>
      </c>
    </row>
    <row r="413" spans="1:14" x14ac:dyDescent="0.2">
      <c r="A413" s="4">
        <v>43191</v>
      </c>
      <c r="B413" s="5">
        <v>95.098039999999997</v>
      </c>
      <c r="C413" s="9">
        <v>113.50399999999999</v>
      </c>
      <c r="D413">
        <v>2.5198514705861781</v>
      </c>
      <c r="E413">
        <f t="shared" si="12"/>
        <v>48.534964841480836</v>
      </c>
      <c r="F413" s="9">
        <v>119.18600000000001</v>
      </c>
      <c r="G413" s="20">
        <v>0</v>
      </c>
      <c r="H413">
        <f t="shared" si="13"/>
        <v>0</v>
      </c>
      <c r="I413" s="5">
        <v>90.909090000000006</v>
      </c>
      <c r="J413" s="5">
        <v>123.20384</v>
      </c>
      <c r="K413" s="5">
        <v>107.57509</v>
      </c>
      <c r="L413" s="5">
        <v>106.80316000000001</v>
      </c>
      <c r="M413" s="5">
        <v>126.56946000000001</v>
      </c>
      <c r="N413">
        <v>76.621922964793029</v>
      </c>
    </row>
    <row r="414" spans="1:14" x14ac:dyDescent="0.2">
      <c r="A414" s="4">
        <v>43221</v>
      </c>
      <c r="B414" s="5">
        <v>93.137249999999995</v>
      </c>
      <c r="C414" s="9">
        <v>113.47800000000001</v>
      </c>
      <c r="D414">
        <v>2.6673910280873949</v>
      </c>
      <c r="E414">
        <f t="shared" si="12"/>
        <v>51.376730445381057</v>
      </c>
      <c r="F414" s="9">
        <v>119.249</v>
      </c>
      <c r="G414" s="20">
        <v>1.8203463691930455E-3</v>
      </c>
      <c r="H414">
        <f t="shared" si="13"/>
        <v>-7.0380172840938542</v>
      </c>
      <c r="I414" s="5">
        <v>86.363640000000004</v>
      </c>
      <c r="J414" s="5">
        <v>123.48202999999999</v>
      </c>
      <c r="K414" s="5">
        <v>109.40311</v>
      </c>
      <c r="L414" s="5">
        <v>112.81638</v>
      </c>
      <c r="M414" s="5">
        <v>127.08586</v>
      </c>
      <c r="N414">
        <v>77.101787845432796</v>
      </c>
    </row>
    <row r="415" spans="1:14" x14ac:dyDescent="0.2">
      <c r="A415" s="4">
        <v>43252</v>
      </c>
      <c r="B415" s="5">
        <v>90.196079999999995</v>
      </c>
      <c r="C415" s="9">
        <v>113.41200000000001</v>
      </c>
      <c r="D415">
        <v>2.7986050138003882</v>
      </c>
      <c r="E415">
        <f t="shared" si="12"/>
        <v>53.904048526477823</v>
      </c>
      <c r="F415" s="9">
        <v>119.483</v>
      </c>
      <c r="G415" s="20">
        <v>2.8872992194343215E-2</v>
      </c>
      <c r="H415">
        <f t="shared" si="13"/>
        <v>-111.63184191005162</v>
      </c>
      <c r="I415" s="5">
        <v>90.909090000000006</v>
      </c>
      <c r="J415" s="5">
        <v>123.5933</v>
      </c>
      <c r="K415" s="5">
        <v>96.572109999999995</v>
      </c>
      <c r="L415" s="5">
        <v>109.4148</v>
      </c>
      <c r="M415" s="5">
        <v>127.24787000000001</v>
      </c>
      <c r="N415">
        <v>77.814723491021653</v>
      </c>
    </row>
    <row r="416" spans="1:14" x14ac:dyDescent="0.2">
      <c r="A416" s="4">
        <v>43282</v>
      </c>
      <c r="B416" s="5">
        <v>88.235290000000006</v>
      </c>
      <c r="C416" s="9">
        <v>114.80799999999999</v>
      </c>
      <c r="D416">
        <v>2.9392375020874977</v>
      </c>
      <c r="E416">
        <f t="shared" si="12"/>
        <v>56.61277678060663</v>
      </c>
      <c r="F416" s="9">
        <v>119.923</v>
      </c>
      <c r="G416" s="20">
        <v>0</v>
      </c>
      <c r="H416">
        <f t="shared" si="13"/>
        <v>0</v>
      </c>
      <c r="I416" s="5">
        <v>86.363640000000004</v>
      </c>
      <c r="J416" s="5">
        <v>123.68980999999999</v>
      </c>
      <c r="K416" s="5">
        <v>77.470479999999995</v>
      </c>
      <c r="L416" s="5">
        <v>114.4285</v>
      </c>
      <c r="M416" s="5">
        <v>127.60227</v>
      </c>
      <c r="N416">
        <v>78.026788069785567</v>
      </c>
    </row>
    <row r="417" spans="1:14" x14ac:dyDescent="0.2">
      <c r="A417" s="4">
        <v>43313</v>
      </c>
      <c r="B417" s="5">
        <v>85.294120000000007</v>
      </c>
      <c r="C417" s="9">
        <v>113.6965</v>
      </c>
      <c r="D417">
        <v>2.9813231690742605</v>
      </c>
      <c r="E417">
        <f t="shared" si="12"/>
        <v>57.423390577243481</v>
      </c>
      <c r="F417" s="9">
        <v>119.90900000000001</v>
      </c>
      <c r="G417" s="20">
        <v>4.4566471524616789E-3</v>
      </c>
      <c r="H417">
        <f t="shared" si="13"/>
        <v>-17.230764550615383</v>
      </c>
      <c r="I417" s="5">
        <v>86.363640000000004</v>
      </c>
      <c r="J417" s="5">
        <v>123.91088000000001</v>
      </c>
      <c r="K417" s="5">
        <v>84.266080000000002</v>
      </c>
      <c r="L417" s="5">
        <v>109.72110000000001</v>
      </c>
      <c r="M417" s="5">
        <v>127.92628999999999</v>
      </c>
      <c r="N417">
        <v>78.019549615417375</v>
      </c>
    </row>
    <row r="418" spans="1:14" x14ac:dyDescent="0.2">
      <c r="A418" s="4">
        <v>43344</v>
      </c>
      <c r="B418" s="5">
        <v>83.333330000000004</v>
      </c>
      <c r="C418" s="9">
        <v>113.97450000000001</v>
      </c>
      <c r="D418">
        <v>3.0806176290293275</v>
      </c>
      <c r="E418">
        <f t="shared" si="12"/>
        <v>59.335905334215219</v>
      </c>
      <c r="F418" s="9">
        <v>119.87</v>
      </c>
      <c r="G418" s="20">
        <v>4.5267843553683023E-3</v>
      </c>
      <c r="H418">
        <f t="shared" si="13"/>
        <v>-17.501936485071816</v>
      </c>
      <c r="I418" s="5">
        <v>84.090909999999994</v>
      </c>
      <c r="J418" s="5">
        <v>124.16642</v>
      </c>
      <c r="K418" s="5">
        <v>85.624049999999997</v>
      </c>
      <c r="L418" s="5">
        <v>113.21941</v>
      </c>
      <c r="M418" s="5">
        <v>128.23005000000001</v>
      </c>
      <c r="N418">
        <v>77.515180212602388</v>
      </c>
    </row>
    <row r="419" spans="1:14" x14ac:dyDescent="0.2">
      <c r="A419" s="4">
        <v>43374</v>
      </c>
      <c r="B419" s="5">
        <v>81.372550000000004</v>
      </c>
      <c r="C419" s="9">
        <v>113.694</v>
      </c>
      <c r="D419">
        <v>3.1314364775760422</v>
      </c>
      <c r="E419">
        <f t="shared" si="12"/>
        <v>60.314729307092307</v>
      </c>
      <c r="F419" s="9">
        <v>119.494</v>
      </c>
      <c r="G419" s="20">
        <v>0</v>
      </c>
      <c r="H419">
        <f t="shared" si="13"/>
        <v>0</v>
      </c>
      <c r="I419" s="5">
        <v>86.363640000000004</v>
      </c>
      <c r="J419" s="5">
        <v>124.45692</v>
      </c>
      <c r="K419" s="5">
        <v>95.623490000000004</v>
      </c>
      <c r="L419" s="5">
        <v>114.05771</v>
      </c>
      <c r="M419" s="5">
        <v>128.47307000000001</v>
      </c>
      <c r="N419">
        <v>77.075961502536344</v>
      </c>
    </row>
    <row r="420" spans="1:14" x14ac:dyDescent="0.2">
      <c r="A420" s="4">
        <v>43405</v>
      </c>
      <c r="B420" s="5">
        <v>81.372550000000004</v>
      </c>
      <c r="C420" s="9">
        <v>114.1785</v>
      </c>
      <c r="D420">
        <v>3.20372138833307</v>
      </c>
      <c r="E420">
        <f t="shared" si="12"/>
        <v>61.707012004352158</v>
      </c>
      <c r="F420" s="9">
        <v>119.34699999999999</v>
      </c>
      <c r="G420" s="20">
        <v>1.6811192853771723E-2</v>
      </c>
      <c r="H420">
        <f t="shared" si="13"/>
        <v>-64.997226831907966</v>
      </c>
      <c r="I420" s="5">
        <v>86.363640000000004</v>
      </c>
      <c r="J420" s="5">
        <v>124.36928</v>
      </c>
      <c r="K420" s="5">
        <v>136.62447</v>
      </c>
      <c r="L420" s="5">
        <v>91.826539999999994</v>
      </c>
      <c r="M420" s="5">
        <v>128.70595</v>
      </c>
      <c r="N420">
        <v>77.24142171600154</v>
      </c>
    </row>
    <row r="421" spans="1:14" x14ac:dyDescent="0.2">
      <c r="A421" s="4">
        <v>43435</v>
      </c>
      <c r="B421" s="5">
        <v>82.352940000000004</v>
      </c>
      <c r="C421" s="9">
        <v>113.996</v>
      </c>
      <c r="D421">
        <v>3.1799431832615115</v>
      </c>
      <c r="E421">
        <f t="shared" si="12"/>
        <v>61.249018999362406</v>
      </c>
      <c r="F421" s="9">
        <v>118.672</v>
      </c>
      <c r="G421" s="20">
        <v>2.9654303940565299E-2</v>
      </c>
      <c r="H421">
        <f t="shared" si="13"/>
        <v>-114.65263271516318</v>
      </c>
      <c r="I421" s="5">
        <v>88.636359999999996</v>
      </c>
      <c r="J421" s="5">
        <v>124.45446</v>
      </c>
      <c r="K421" s="5">
        <v>106.83278</v>
      </c>
      <c r="L421" s="5">
        <v>79.832340000000002</v>
      </c>
      <c r="M421" s="5">
        <v>128.91858999999999</v>
      </c>
      <c r="N421">
        <v>77.051044252080814</v>
      </c>
    </row>
    <row r="422" spans="1:14" x14ac:dyDescent="0.2">
      <c r="A422" s="4">
        <v>43466</v>
      </c>
      <c r="B422" s="5">
        <v>84.313730000000007</v>
      </c>
      <c r="C422" s="9">
        <v>113.5215</v>
      </c>
      <c r="D422">
        <v>2.9619075097606262</v>
      </c>
      <c r="E422">
        <f t="shared" si="12"/>
        <v>57.049424749034486</v>
      </c>
      <c r="F422" s="9">
        <v>118.15</v>
      </c>
      <c r="G422" s="20">
        <v>-1.9632268316976224E-2</v>
      </c>
      <c r="H422">
        <f t="shared" si="13"/>
        <v>75.904369673392551</v>
      </c>
      <c r="I422" s="5">
        <v>90.909090000000006</v>
      </c>
      <c r="J422" s="5">
        <v>124.35303</v>
      </c>
      <c r="K422" s="5">
        <v>106.01927999999999</v>
      </c>
      <c r="L422" s="5">
        <v>82.830889999999997</v>
      </c>
      <c r="M422" s="5">
        <v>129.23248000000001</v>
      </c>
      <c r="N422">
        <v>77.070045096173871</v>
      </c>
    </row>
    <row r="423" spans="1:14" x14ac:dyDescent="0.2">
      <c r="A423" s="4">
        <v>43497</v>
      </c>
      <c r="B423" s="5">
        <v>85.294120000000007</v>
      </c>
      <c r="C423" s="9">
        <v>113.53100000000001</v>
      </c>
      <c r="D423">
        <v>2.8689999432877409</v>
      </c>
      <c r="E423">
        <f t="shared" si="12"/>
        <v>55.259928215248678</v>
      </c>
      <c r="F423" s="9">
        <v>118.361</v>
      </c>
      <c r="G423" s="20">
        <v>0</v>
      </c>
      <c r="H423">
        <f t="shared" si="13"/>
        <v>0</v>
      </c>
      <c r="I423" s="5">
        <v>86.363640000000004</v>
      </c>
      <c r="J423" s="5">
        <v>124.72624</v>
      </c>
      <c r="K423" s="5">
        <v>109.27047</v>
      </c>
      <c r="L423" s="5">
        <v>88.586169999999996</v>
      </c>
      <c r="M423" s="5">
        <v>129.52611999999999</v>
      </c>
      <c r="N423">
        <v>76.727354479785731</v>
      </c>
    </row>
    <row r="424" spans="1:14" x14ac:dyDescent="0.2">
      <c r="A424" s="4">
        <v>43525</v>
      </c>
      <c r="B424" s="5">
        <v>84.313730000000007</v>
      </c>
      <c r="C424" s="9">
        <v>113.753</v>
      </c>
      <c r="D424">
        <v>2.820094373904606</v>
      </c>
      <c r="E424">
        <f t="shared" si="12"/>
        <v>54.317955992572045</v>
      </c>
      <c r="F424" s="9">
        <v>118.886</v>
      </c>
      <c r="G424" s="20">
        <v>-2.7033073801949532E-2</v>
      </c>
      <c r="H424">
        <f t="shared" si="13"/>
        <v>104.51815318237867</v>
      </c>
      <c r="I424" s="5">
        <v>86.363640000000004</v>
      </c>
      <c r="J424" s="5">
        <v>125.19793</v>
      </c>
      <c r="K424" s="5">
        <v>117.78339</v>
      </c>
      <c r="L424" s="5">
        <v>93.744960000000006</v>
      </c>
      <c r="M424" s="5">
        <v>129.81977000000001</v>
      </c>
      <c r="N424">
        <v>77.035224661395304</v>
      </c>
    </row>
    <row r="425" spans="1:14" x14ac:dyDescent="0.2">
      <c r="A425" s="4">
        <v>43556</v>
      </c>
      <c r="B425" s="5">
        <v>82.352940000000004</v>
      </c>
      <c r="C425" s="9">
        <v>114.06425</v>
      </c>
      <c r="D425">
        <v>2.6724018887465562</v>
      </c>
      <c r="E425">
        <f t="shared" si="12"/>
        <v>51.473244842660748</v>
      </c>
      <c r="F425" s="9">
        <v>119.6974</v>
      </c>
      <c r="G425" s="20">
        <v>0</v>
      </c>
      <c r="H425">
        <f t="shared" si="13"/>
        <v>0</v>
      </c>
      <c r="I425" s="5">
        <v>84.090909999999994</v>
      </c>
      <c r="J425" s="5">
        <v>125.66864</v>
      </c>
      <c r="K425" s="5">
        <v>103.81265999999999</v>
      </c>
      <c r="L425" s="5">
        <v>102.95019000000001</v>
      </c>
      <c r="M425" s="5">
        <v>130.23491000000001</v>
      </c>
      <c r="N425">
        <v>76.861168715172298</v>
      </c>
    </row>
    <row r="426" spans="1:14" x14ac:dyDescent="0.2">
      <c r="A426" s="4">
        <v>43586</v>
      </c>
      <c r="B426" s="5">
        <v>79.411760000000001</v>
      </c>
      <c r="C426" s="9">
        <v>114.0488</v>
      </c>
      <c r="D426">
        <v>2.6182458020647559</v>
      </c>
      <c r="E426">
        <f t="shared" si="12"/>
        <v>50.430142186121266</v>
      </c>
      <c r="F426" s="9">
        <v>119.8907</v>
      </c>
      <c r="G426" s="20">
        <v>-3.7380158511287724E-2</v>
      </c>
      <c r="H426">
        <f t="shared" si="13"/>
        <v>144.5231556680252</v>
      </c>
      <c r="I426" s="5">
        <v>81.818179999999998</v>
      </c>
      <c r="J426" s="5">
        <v>125.69965999999999</v>
      </c>
      <c r="K426" s="5">
        <v>93.872370000000004</v>
      </c>
      <c r="L426" s="5">
        <v>98.065449999999998</v>
      </c>
      <c r="M426" s="5">
        <v>130.52855</v>
      </c>
      <c r="N426">
        <v>76.71088554795837</v>
      </c>
    </row>
    <row r="427" spans="1:14" x14ac:dyDescent="0.2">
      <c r="A427" s="4">
        <v>43617</v>
      </c>
      <c r="B427" s="5">
        <v>75.490200000000002</v>
      </c>
      <c r="C427" s="9">
        <v>113.6675</v>
      </c>
      <c r="D427">
        <v>2.2360225781408554</v>
      </c>
      <c r="E427">
        <f t="shared" si="12"/>
        <v>43.068124642115578</v>
      </c>
      <c r="F427" s="9">
        <v>120.291</v>
      </c>
      <c r="G427" s="20">
        <v>-7.9287756162196368E-2</v>
      </c>
      <c r="H427">
        <f t="shared" si="13"/>
        <v>306.55077941783662</v>
      </c>
      <c r="I427" s="5">
        <v>81.818179999999998</v>
      </c>
      <c r="J427" s="5">
        <v>125.65879</v>
      </c>
      <c r="K427" s="5">
        <v>108.71599000000001</v>
      </c>
      <c r="L427" s="5">
        <v>88.118650000000002</v>
      </c>
      <c r="M427" s="5">
        <v>130.79182</v>
      </c>
      <c r="N427">
        <v>76.276605248536953</v>
      </c>
    </row>
    <row r="428" spans="1:14" x14ac:dyDescent="0.2">
      <c r="A428" s="4">
        <v>43647</v>
      </c>
      <c r="B428" s="5">
        <v>74.509799999999998</v>
      </c>
      <c r="C428" s="14">
        <v>113.45820000000001</v>
      </c>
      <c r="D428">
        <v>2.2938042688493687</v>
      </c>
      <c r="E428">
        <f t="shared" si="12"/>
        <v>44.181060209848319</v>
      </c>
      <c r="F428" s="14">
        <v>120.2367</v>
      </c>
      <c r="G428" s="20">
        <v>5.7598775679947884E-3</v>
      </c>
      <c r="H428">
        <f t="shared" si="13"/>
        <v>-22.269452980963305</v>
      </c>
      <c r="I428" s="5">
        <v>84.090909999999994</v>
      </c>
      <c r="J428" s="5">
        <v>125.94879</v>
      </c>
      <c r="K428" s="5">
        <v>117.44025999999999</v>
      </c>
      <c r="L428" s="5">
        <v>92.455259999999996</v>
      </c>
      <c r="M428" s="5">
        <v>131.02471</v>
      </c>
      <c r="N428">
        <v>75.953556641868175</v>
      </c>
    </row>
    <row r="429" spans="1:14" x14ac:dyDescent="0.2">
      <c r="A429" s="4">
        <v>43678</v>
      </c>
      <c r="B429" s="5">
        <v>75.490200000000002</v>
      </c>
      <c r="C429" s="9">
        <v>113.9552</v>
      </c>
      <c r="D429">
        <v>2.405219488338298</v>
      </c>
      <c r="E429">
        <f t="shared" si="12"/>
        <v>46.327033424469235</v>
      </c>
      <c r="F429" s="9">
        <v>120.4126</v>
      </c>
      <c r="G429" s="20">
        <v>0</v>
      </c>
      <c r="H429">
        <f t="shared" si="13"/>
        <v>0</v>
      </c>
      <c r="I429" s="5">
        <v>81.818179999999998</v>
      </c>
      <c r="J429" s="5">
        <v>126.06401</v>
      </c>
      <c r="K429" s="5">
        <v>96.338719999999995</v>
      </c>
      <c r="L429" s="5">
        <v>88.360470000000007</v>
      </c>
      <c r="M429" s="5">
        <v>131.33860000000001</v>
      </c>
      <c r="N429">
        <v>75.549255713457029</v>
      </c>
    </row>
    <row r="430" spans="1:14" x14ac:dyDescent="0.2">
      <c r="A430" s="4">
        <v>43709</v>
      </c>
      <c r="B430" s="5">
        <v>78.431370000000001</v>
      </c>
      <c r="C430" s="9">
        <v>114.009</v>
      </c>
      <c r="D430">
        <v>2.4900841461178627</v>
      </c>
      <c r="E430">
        <f t="shared" si="12"/>
        <v>47.961615156644626</v>
      </c>
      <c r="F430" s="9">
        <v>119.91500000000001</v>
      </c>
      <c r="G430" s="20">
        <v>4.4445702073530047E-2</v>
      </c>
      <c r="H430">
        <f t="shared" si="13"/>
        <v>-171.84071377353212</v>
      </c>
      <c r="I430" s="5">
        <v>79.545450000000002</v>
      </c>
      <c r="J430" s="5">
        <v>126.258</v>
      </c>
      <c r="K430" s="5">
        <v>91.886259999999993</v>
      </c>
      <c r="L430" s="5">
        <v>91.810410000000005</v>
      </c>
      <c r="M430" s="5">
        <v>131.69299000000001</v>
      </c>
      <c r="N430">
        <v>75.426755288536427</v>
      </c>
    </row>
    <row r="431" spans="1:14" x14ac:dyDescent="0.2">
      <c r="A431" s="4">
        <v>43739</v>
      </c>
      <c r="B431" s="5">
        <v>82.352940000000004</v>
      </c>
      <c r="C431" s="9">
        <v>114.29155</v>
      </c>
      <c r="D431">
        <v>2.4020451703631593</v>
      </c>
      <c r="E431">
        <f t="shared" si="12"/>
        <v>46.265892752839413</v>
      </c>
      <c r="F431" s="9">
        <v>119.5204</v>
      </c>
      <c r="G431" s="20">
        <v>2.8312030750813268E-2</v>
      </c>
      <c r="H431">
        <f t="shared" si="13"/>
        <v>-109.46299294696983</v>
      </c>
      <c r="I431" s="5">
        <v>81.818179999999998</v>
      </c>
      <c r="J431" s="5">
        <v>126.61497</v>
      </c>
      <c r="K431" s="5">
        <v>97.988690000000005</v>
      </c>
      <c r="L431" s="5">
        <v>86.990170000000006</v>
      </c>
      <c r="M431" s="5">
        <v>131.87524999999999</v>
      </c>
      <c r="N431">
        <v>75.904359522803432</v>
      </c>
    </row>
    <row r="432" spans="1:14" x14ac:dyDescent="0.2">
      <c r="A432" s="4">
        <v>43770</v>
      </c>
      <c r="B432" s="5">
        <v>85.294120000000007</v>
      </c>
      <c r="C432" s="9">
        <v>113.9815</v>
      </c>
      <c r="D432">
        <v>2.3401331408812229</v>
      </c>
      <c r="E432">
        <f t="shared" si="12"/>
        <v>45.073402556791663</v>
      </c>
      <c r="F432" s="9">
        <v>119.589</v>
      </c>
      <c r="G432" s="20">
        <v>0</v>
      </c>
      <c r="H432">
        <f t="shared" si="13"/>
        <v>0</v>
      </c>
      <c r="I432" s="5">
        <v>81.818179999999998</v>
      </c>
      <c r="J432" s="5">
        <v>126.97144</v>
      </c>
      <c r="K432" s="5">
        <v>120.26425</v>
      </c>
      <c r="L432" s="5">
        <v>91.93938</v>
      </c>
      <c r="M432" s="5">
        <v>132.16889</v>
      </c>
      <c r="N432">
        <v>76.852771099913426</v>
      </c>
    </row>
    <row r="433" spans="1:14" x14ac:dyDescent="0.2">
      <c r="A433" s="4">
        <v>43800</v>
      </c>
      <c r="B433" s="5">
        <v>88.235290000000006</v>
      </c>
      <c r="C433" s="9">
        <v>114.51900000000001</v>
      </c>
      <c r="D433">
        <v>2.3041456314002349</v>
      </c>
      <c r="E433">
        <f t="shared" si="12"/>
        <v>44.380245627591428</v>
      </c>
      <c r="F433" s="9">
        <v>119.3</v>
      </c>
      <c r="G433" s="20">
        <v>5.0689096476533701E-3</v>
      </c>
      <c r="H433">
        <f t="shared" si="13"/>
        <v>-19.597959111215285</v>
      </c>
      <c r="I433" s="5">
        <v>81.818179999999998</v>
      </c>
      <c r="J433" s="5">
        <v>127.34121</v>
      </c>
      <c r="K433" s="5">
        <v>92.657269999999997</v>
      </c>
      <c r="L433" s="5">
        <v>96.533940000000001</v>
      </c>
      <c r="M433" s="5">
        <v>132.43216000000001</v>
      </c>
      <c r="N433">
        <v>77.538698285103038</v>
      </c>
    </row>
    <row r="434" spans="1:14" x14ac:dyDescent="0.2">
      <c r="A434" s="4">
        <v>43831</v>
      </c>
      <c r="B434" s="5">
        <v>89.215689999999995</v>
      </c>
      <c r="C434" s="9">
        <v>114.74215000000001</v>
      </c>
      <c r="D434">
        <v>2.2354894137396037</v>
      </c>
      <c r="E434">
        <f t="shared" si="12"/>
        <v>43.057855340225551</v>
      </c>
      <c r="F434" s="9">
        <v>119.2801</v>
      </c>
      <c r="G434" s="20">
        <v>1.3637050889339577E-2</v>
      </c>
      <c r="H434">
        <f t="shared" si="13"/>
        <v>-52.725020626588837</v>
      </c>
      <c r="I434" s="5">
        <v>81.818179999999998</v>
      </c>
      <c r="J434" s="5">
        <v>127.58592</v>
      </c>
      <c r="K434" s="5">
        <v>132.47573</v>
      </c>
      <c r="L434" s="5">
        <v>92.729320000000001</v>
      </c>
      <c r="M434" s="5">
        <v>132.75618</v>
      </c>
      <c r="N434">
        <v>77.188890160936225</v>
      </c>
    </row>
    <row r="435" spans="1:14" x14ac:dyDescent="0.2">
      <c r="A435" s="4">
        <v>43862</v>
      </c>
      <c r="B435" s="5">
        <v>89.215689999999995</v>
      </c>
      <c r="C435" s="9">
        <v>114.1927</v>
      </c>
      <c r="D435">
        <v>2.201926821899078</v>
      </c>
      <c r="E435">
        <f t="shared" si="12"/>
        <v>42.411404851383864</v>
      </c>
      <c r="F435" s="9">
        <v>119.20440000000001</v>
      </c>
      <c r="G435" s="20">
        <v>0</v>
      </c>
      <c r="H435">
        <f t="shared" si="13"/>
        <v>0</v>
      </c>
      <c r="I435" s="5">
        <v>79.545450000000002</v>
      </c>
      <c r="J435" s="5">
        <v>127.64648</v>
      </c>
      <c r="K435" s="5">
        <v>105.91605</v>
      </c>
      <c r="L435" s="5">
        <v>81.476699999999994</v>
      </c>
      <c r="M435" s="5">
        <v>133.17132000000001</v>
      </c>
      <c r="N435">
        <v>77.079570728974403</v>
      </c>
    </row>
    <row r="436" spans="1:14" x14ac:dyDescent="0.2">
      <c r="A436" s="4">
        <v>43891</v>
      </c>
      <c r="B436" s="8">
        <v>88.562093329999996</v>
      </c>
      <c r="C436" s="9">
        <v>114.13274999999999</v>
      </c>
      <c r="D436">
        <v>1.6065292643667395</v>
      </c>
      <c r="E436">
        <f t="shared" si="12"/>
        <v>30.943427528572315</v>
      </c>
      <c r="F436" s="9">
        <v>119.06840000000001</v>
      </c>
      <c r="G436" s="20">
        <v>-0.41898302565545142</v>
      </c>
      <c r="H436">
        <f t="shared" si="13"/>
        <v>1619.9168609939907</v>
      </c>
      <c r="I436" s="5">
        <v>100</v>
      </c>
      <c r="J436" s="5">
        <v>127.06844</v>
      </c>
      <c r="K436" s="5">
        <v>108.62934</v>
      </c>
      <c r="L436" s="5">
        <v>47.090119999999999</v>
      </c>
      <c r="M436" s="5">
        <v>132.17902000000001</v>
      </c>
      <c r="N436">
        <v>75.47455786944289</v>
      </c>
    </row>
    <row r="437" spans="1:14" x14ac:dyDescent="0.2">
      <c r="A437" s="4">
        <v>43922</v>
      </c>
      <c r="B437" s="8">
        <v>87.908496659999997</v>
      </c>
      <c r="C437" s="9">
        <v>114.13274999999999</v>
      </c>
      <c r="D437">
        <v>1.5230921041010279</v>
      </c>
      <c r="E437">
        <f t="shared" si="12"/>
        <v>29.336340885871397</v>
      </c>
      <c r="F437" s="9">
        <v>119.06829999999999</v>
      </c>
      <c r="G437" s="20">
        <v>2.9003128426416235E-3</v>
      </c>
      <c r="H437">
        <f t="shared" si="13"/>
        <v>-11.213498849034927</v>
      </c>
      <c r="I437" s="5">
        <v>336.36363999999998</v>
      </c>
      <c r="J437" s="5">
        <v>126.06204</v>
      </c>
      <c r="K437" s="5">
        <v>80.015749999999997</v>
      </c>
      <c r="L437" s="5">
        <v>26.68064</v>
      </c>
      <c r="M437" s="5">
        <v>117.02106000000001</v>
      </c>
      <c r="N437">
        <v>72.291910967713136</v>
      </c>
    </row>
    <row r="438" spans="1:14" x14ac:dyDescent="0.2">
      <c r="A438" s="4">
        <v>43952</v>
      </c>
      <c r="B438" s="5">
        <v>87.254900000000006</v>
      </c>
      <c r="C438" s="9">
        <v>114.13274999999999</v>
      </c>
      <c r="D438">
        <v>1.3285441856473319</v>
      </c>
      <c r="E438">
        <f t="shared" si="12"/>
        <v>25.589145270434233</v>
      </c>
      <c r="F438" s="9">
        <v>119.06829999999999</v>
      </c>
      <c r="G438" s="20">
        <v>0</v>
      </c>
      <c r="H438">
        <f t="shared" si="13"/>
        <v>0</v>
      </c>
      <c r="I438" s="5">
        <v>300</v>
      </c>
      <c r="J438" s="5">
        <v>125.94879</v>
      </c>
      <c r="K438" s="5">
        <v>106.35634</v>
      </c>
      <c r="L438" s="5">
        <v>46.04224</v>
      </c>
      <c r="M438" s="5">
        <v>119.23856000000001</v>
      </c>
      <c r="N438">
        <v>70.207250311089837</v>
      </c>
    </row>
    <row r="439" spans="1:14" x14ac:dyDescent="0.2">
      <c r="A439" s="4">
        <v>43983</v>
      </c>
      <c r="B439" s="5">
        <v>81.372550000000004</v>
      </c>
      <c r="C439" s="9">
        <v>114.89574999999999</v>
      </c>
      <c r="D439">
        <v>1.2185494531979679</v>
      </c>
      <c r="E439">
        <f t="shared" si="12"/>
        <v>23.470532116248567</v>
      </c>
      <c r="F439" s="9">
        <v>118.23740000000001</v>
      </c>
      <c r="G439" s="20">
        <v>5.0689096476533701E-3</v>
      </c>
      <c r="H439">
        <f t="shared" si="13"/>
        <v>-19.597959111215285</v>
      </c>
      <c r="I439" s="5">
        <v>250</v>
      </c>
      <c r="J439" s="5">
        <v>126.55933</v>
      </c>
      <c r="K439" s="5">
        <v>67.309979999999996</v>
      </c>
      <c r="L439" s="5">
        <v>61.760440000000003</v>
      </c>
      <c r="M439" s="5">
        <v>121.38518000000001</v>
      </c>
      <c r="N439">
        <v>70.444179961631022</v>
      </c>
    </row>
    <row r="440" spans="1:14" x14ac:dyDescent="0.2">
      <c r="A440" s="4">
        <v>44013</v>
      </c>
      <c r="B440" s="5">
        <v>80.392160000000004</v>
      </c>
      <c r="C440" s="9">
        <v>114.84514999999999</v>
      </c>
      <c r="D440">
        <v>1.2315761801254317</v>
      </c>
      <c r="E440">
        <f t="shared" si="12"/>
        <v>23.721440449856399</v>
      </c>
      <c r="F440" s="9">
        <v>118.56629999999998</v>
      </c>
      <c r="G440" s="20">
        <v>1.569637509768956E-3</v>
      </c>
      <c r="H440">
        <f t="shared" si="13"/>
        <v>-6.0686999520937954</v>
      </c>
      <c r="I440" s="5">
        <v>231.81818000000001</v>
      </c>
      <c r="J440" s="5">
        <v>127.20433</v>
      </c>
      <c r="K440" s="5">
        <v>126.32827</v>
      </c>
      <c r="L440" s="5">
        <v>65.629530000000003</v>
      </c>
      <c r="M440" s="5">
        <v>121.93196</v>
      </c>
      <c r="N440">
        <v>73.469111735346232</v>
      </c>
    </row>
    <row r="441" spans="1:14" x14ac:dyDescent="0.2">
      <c r="A441" s="4">
        <v>44044</v>
      </c>
      <c r="B441" s="5">
        <v>81.372550000000004</v>
      </c>
      <c r="C441" s="9">
        <v>114.845</v>
      </c>
      <c r="D441">
        <v>1.0752291394856397</v>
      </c>
      <c r="E441">
        <f t="shared" si="12"/>
        <v>20.710033543894333</v>
      </c>
      <c r="F441" s="9">
        <v>118.541</v>
      </c>
      <c r="G441" s="20">
        <v>7.9242169086570519E-3</v>
      </c>
      <c r="H441">
        <f t="shared" si="13"/>
        <v>-30.637452580390033</v>
      </c>
      <c r="I441" s="5">
        <v>190.90908999999999</v>
      </c>
      <c r="J441" s="5">
        <v>127.67898</v>
      </c>
      <c r="K441" s="5">
        <v>95.654780000000002</v>
      </c>
      <c r="L441" s="5">
        <v>68.257289999999998</v>
      </c>
      <c r="M441" s="5">
        <v>123.62291999999999</v>
      </c>
      <c r="N441">
        <v>75.142139594588741</v>
      </c>
    </row>
    <row r="442" spans="1:14" x14ac:dyDescent="0.2">
      <c r="A442" s="4">
        <v>44075</v>
      </c>
      <c r="B442" s="5">
        <v>84.313730000000007</v>
      </c>
      <c r="C442" s="9">
        <v>114.57050000000001</v>
      </c>
      <c r="D442">
        <v>0.94539614944173866</v>
      </c>
      <c r="E442">
        <f t="shared" si="12"/>
        <v>18.20931487829013</v>
      </c>
      <c r="F442" s="9">
        <v>118.663</v>
      </c>
      <c r="G442" s="20">
        <v>8.3644493228023104E-3</v>
      </c>
      <c r="H442">
        <f t="shared" si="13"/>
        <v>-32.339526093545771</v>
      </c>
      <c r="I442" s="5">
        <v>177.27273</v>
      </c>
      <c r="J442" s="5">
        <v>128.01428000000001</v>
      </c>
      <c r="K442" s="5">
        <v>41.985759999999999</v>
      </c>
      <c r="L442" s="5">
        <v>63.888440000000003</v>
      </c>
      <c r="M442" s="5">
        <v>124.5646</v>
      </c>
      <c r="N442">
        <v>75.838723165229609</v>
      </c>
    </row>
    <row r="443" spans="1:14" x14ac:dyDescent="0.2">
      <c r="A443" s="4">
        <v>44105</v>
      </c>
      <c r="B443" s="5">
        <v>88.235290000000006</v>
      </c>
      <c r="C443" s="14">
        <v>114.52589999999998</v>
      </c>
      <c r="D443">
        <v>0.74989479340439336</v>
      </c>
      <c r="E443">
        <f t="shared" si="12"/>
        <v>14.443755061573194</v>
      </c>
      <c r="F443" s="14">
        <v>118.9311</v>
      </c>
      <c r="G443" s="20">
        <v>0</v>
      </c>
      <c r="H443">
        <f t="shared" si="13"/>
        <v>0</v>
      </c>
      <c r="I443" s="5">
        <v>156.81818000000001</v>
      </c>
      <c r="J443" s="5">
        <v>128.17282</v>
      </c>
      <c r="K443" s="5">
        <v>66.796719999999993</v>
      </c>
      <c r="L443" s="5">
        <v>63.517650000000003</v>
      </c>
      <c r="M443" s="5">
        <v>125.61766</v>
      </c>
      <c r="N443">
        <v>75.946467230971521</v>
      </c>
    </row>
    <row r="444" spans="1:14" x14ac:dyDescent="0.2">
      <c r="A444" s="4">
        <v>44136</v>
      </c>
      <c r="B444" s="5">
        <v>91.176469999999995</v>
      </c>
      <c r="C444" s="15">
        <v>114.53494999999998</v>
      </c>
      <c r="D444">
        <v>0.63204630765656056</v>
      </c>
      <c r="E444">
        <f t="shared" si="12"/>
        <v>12.173870435769333</v>
      </c>
      <c r="F444" s="15">
        <v>119.03779999999999</v>
      </c>
      <c r="G444" s="20">
        <v>5.6964195110725683E-3</v>
      </c>
      <c r="H444">
        <f t="shared" si="13"/>
        <v>-22.024104673085183</v>
      </c>
      <c r="I444" s="5">
        <v>152.27273</v>
      </c>
      <c r="J444" s="5">
        <v>128.46430000000001</v>
      </c>
      <c r="K444" s="5">
        <v>53.56221</v>
      </c>
      <c r="L444" s="5">
        <v>66.000320000000002</v>
      </c>
      <c r="M444" s="5">
        <v>126.14418999999999</v>
      </c>
      <c r="N444">
        <v>75.657367822382639</v>
      </c>
    </row>
    <row r="445" spans="1:14" x14ac:dyDescent="0.2">
      <c r="A445" s="4">
        <v>44166</v>
      </c>
      <c r="B445" s="5">
        <v>91.176469999999995</v>
      </c>
      <c r="C445" s="9">
        <v>114.91595000000001</v>
      </c>
      <c r="D445">
        <v>0.42301123836664167</v>
      </c>
      <c r="E445">
        <f t="shared" si="12"/>
        <v>8.1476372005768489</v>
      </c>
      <c r="F445" s="9">
        <v>119.20170000000002</v>
      </c>
      <c r="G445" s="20">
        <v>9.6316665987527597E-3</v>
      </c>
      <c r="H445">
        <f t="shared" si="13"/>
        <v>-37.238976682608786</v>
      </c>
      <c r="I445" s="5">
        <v>152.27273</v>
      </c>
      <c r="J445" s="5">
        <v>129.02265</v>
      </c>
      <c r="K445" s="5">
        <v>52.968780000000002</v>
      </c>
      <c r="L445" s="5">
        <v>75.802030000000002</v>
      </c>
      <c r="M445" s="5">
        <v>126.38720000000001</v>
      </c>
      <c r="N445">
        <v>76.139389645220788</v>
      </c>
    </row>
    <row r="446" spans="1:14" x14ac:dyDescent="0.2">
      <c r="A446" s="4">
        <v>44197</v>
      </c>
      <c r="B446" s="5">
        <v>88.235290000000006</v>
      </c>
      <c r="C446" s="9">
        <v>115.937</v>
      </c>
      <c r="D446">
        <v>0.19749346357354669</v>
      </c>
      <c r="E446">
        <f t="shared" si="12"/>
        <v>3.8039298835080086</v>
      </c>
      <c r="F446" s="9">
        <v>119.381</v>
      </c>
      <c r="G446" s="20">
        <v>6.3788192091708855E-3</v>
      </c>
      <c r="H446">
        <f t="shared" si="13"/>
        <v>-24.662471168141519</v>
      </c>
      <c r="I446" s="5">
        <v>145.45455000000001</v>
      </c>
      <c r="J446" s="5">
        <v>129.33875</v>
      </c>
      <c r="K446" s="5">
        <v>46.842590000000001</v>
      </c>
      <c r="L446" s="5">
        <v>83.830399999999997</v>
      </c>
      <c r="M446" s="5">
        <v>127.00485999999999</v>
      </c>
      <c r="N446">
        <v>76.755537134001301</v>
      </c>
    </row>
    <row r="447" spans="1:14" x14ac:dyDescent="0.2">
      <c r="A447" s="4">
        <v>44228</v>
      </c>
      <c r="B447" s="5">
        <v>83.333330000000004</v>
      </c>
      <c r="C447" s="9">
        <v>116.764</v>
      </c>
      <c r="D447">
        <v>-6.9704002518368308E-2</v>
      </c>
      <c r="E447">
        <f t="shared" si="12"/>
        <v>-1.3425717154481773</v>
      </c>
      <c r="F447" s="9">
        <v>119.779</v>
      </c>
      <c r="G447" s="20">
        <v>0</v>
      </c>
      <c r="H447">
        <f t="shared" si="13"/>
        <v>0</v>
      </c>
      <c r="I447" s="5">
        <v>140.90908999999999</v>
      </c>
      <c r="J447" s="5">
        <v>129.77794</v>
      </c>
      <c r="K447" s="5">
        <v>89.638710000000003</v>
      </c>
      <c r="L447" s="5">
        <v>95.179749999999999</v>
      </c>
      <c r="M447" s="5">
        <v>127.62251999999999</v>
      </c>
      <c r="N447">
        <v>77.247812177637883</v>
      </c>
    </row>
    <row r="448" spans="1:14" x14ac:dyDescent="0.2">
      <c r="A448" s="4">
        <v>44256</v>
      </c>
      <c r="B448" s="5">
        <v>80.392160000000004</v>
      </c>
      <c r="C448" s="9">
        <v>116.45150000000001</v>
      </c>
      <c r="D448">
        <v>-0.34799107949753205</v>
      </c>
      <c r="E448">
        <f t="shared" si="12"/>
        <v>-6.7026707747313061</v>
      </c>
      <c r="F448" s="9">
        <v>120.274</v>
      </c>
      <c r="G448" s="20">
        <v>4.5983108411796429E-4</v>
      </c>
      <c r="H448">
        <f t="shared" si="13"/>
        <v>-1.7778479813270318</v>
      </c>
      <c r="I448" s="5">
        <v>138.63636</v>
      </c>
      <c r="J448" s="5">
        <v>130.45839000000001</v>
      </c>
      <c r="K448" s="5">
        <v>79.66713</v>
      </c>
      <c r="L448" s="5">
        <v>100.48363999999999</v>
      </c>
      <c r="M448" s="5">
        <v>128.30092999999999</v>
      </c>
      <c r="N448">
        <v>76.861639117891627</v>
      </c>
    </row>
    <row r="449" spans="1:14" x14ac:dyDescent="0.2">
      <c r="A449" s="4">
        <v>44287</v>
      </c>
      <c r="B449" s="5">
        <v>79.411760000000001</v>
      </c>
      <c r="C449" s="9">
        <v>116.524</v>
      </c>
      <c r="D449">
        <v>-0.3578647771350012</v>
      </c>
      <c r="E449">
        <f t="shared" si="12"/>
        <v>-6.8928484789665889</v>
      </c>
      <c r="F449" s="9">
        <v>120.727</v>
      </c>
      <c r="G449" s="20">
        <v>5.7641616791163416E-3</v>
      </c>
      <c r="H449">
        <f t="shared" si="13"/>
        <v>-22.286016668309159</v>
      </c>
      <c r="I449" s="5">
        <v>138.63636</v>
      </c>
      <c r="J449" s="5">
        <v>131.27227999999999</v>
      </c>
      <c r="K449" s="5">
        <v>104.8944</v>
      </c>
      <c r="L449" s="5">
        <v>99.500240000000005</v>
      </c>
      <c r="M449" s="5">
        <v>128.76670999999999</v>
      </c>
      <c r="N449">
        <v>76.566212594651944</v>
      </c>
    </row>
    <row r="450" spans="1:14" x14ac:dyDescent="0.2">
      <c r="A450" s="4">
        <v>44317</v>
      </c>
      <c r="B450" s="5">
        <v>79.411760000000001</v>
      </c>
      <c r="C450" s="9">
        <v>116.5655</v>
      </c>
      <c r="D450">
        <v>-0.42379526661589506</v>
      </c>
      <c r="E450">
        <f t="shared" si="12"/>
        <v>-8.1627384015628692</v>
      </c>
      <c r="F450" s="9">
        <v>120.893</v>
      </c>
      <c r="G450" s="20">
        <v>0</v>
      </c>
      <c r="H450">
        <f t="shared" si="13"/>
        <v>0</v>
      </c>
      <c r="I450" s="5">
        <v>131.81818000000001</v>
      </c>
      <c r="J450" s="5">
        <v>132.14328</v>
      </c>
      <c r="K450" s="5">
        <v>122.74776</v>
      </c>
      <c r="L450" s="5">
        <v>105.06207000000001</v>
      </c>
      <c r="M450" s="5">
        <v>129.39448999999999</v>
      </c>
      <c r="N450">
        <v>76.45516671856187</v>
      </c>
    </row>
    <row r="451" spans="1:14" x14ac:dyDescent="0.2">
      <c r="A451" s="4">
        <v>44348</v>
      </c>
      <c r="B451" s="5">
        <v>81.372550000000004</v>
      </c>
      <c r="C451" s="9">
        <v>117.426</v>
      </c>
      <c r="D451">
        <v>-0.14477436596045057</v>
      </c>
      <c r="E451">
        <f t="shared" ref="E451:E505" si="14">(D451 / $D$277) * 100</f>
        <v>-2.788505133679005</v>
      </c>
      <c r="F451" s="9">
        <v>121.389</v>
      </c>
      <c r="G451" s="20">
        <v>2.8402238396970869E-2</v>
      </c>
      <c r="H451">
        <f t="shared" ref="H451:H505" si="15">(G451 / G$277) * 100</f>
        <v>-109.81176336976364</v>
      </c>
      <c r="I451" s="5">
        <v>134.09091000000001</v>
      </c>
      <c r="J451" s="5">
        <v>133.26145</v>
      </c>
      <c r="K451" s="5">
        <v>118.71993000000001</v>
      </c>
      <c r="L451" s="5">
        <v>115.07335</v>
      </c>
      <c r="M451" s="5">
        <v>130.04253</v>
      </c>
      <c r="N451">
        <v>75.92428833647476</v>
      </c>
    </row>
    <row r="452" spans="1:14" x14ac:dyDescent="0.2">
      <c r="A452" s="4">
        <v>44378</v>
      </c>
      <c r="B452" s="5">
        <v>82.352940000000004</v>
      </c>
      <c r="C452" s="9">
        <v>117.426</v>
      </c>
      <c r="D452">
        <v>0.13185010560752364</v>
      </c>
      <c r="E452">
        <f t="shared" si="14"/>
        <v>2.5395704130601215</v>
      </c>
      <c r="F452" s="9">
        <v>121.971</v>
      </c>
      <c r="G452" s="20">
        <v>1.01036546881312E-2</v>
      </c>
      <c r="H452">
        <f t="shared" si="15"/>
        <v>-39.063827374295819</v>
      </c>
      <c r="I452" s="5">
        <v>122.72727</v>
      </c>
      <c r="J452" s="5">
        <v>133.87642</v>
      </c>
      <c r="K452" s="5">
        <v>111.4648</v>
      </c>
      <c r="L452" s="5">
        <v>116.86281</v>
      </c>
      <c r="M452" s="5">
        <v>131.06521000000001</v>
      </c>
      <c r="N452">
        <v>75.495811457218025</v>
      </c>
    </row>
    <row r="453" spans="1:14" x14ac:dyDescent="0.2">
      <c r="A453" s="4">
        <v>44409</v>
      </c>
      <c r="B453" s="5">
        <v>81.372550000000004</v>
      </c>
      <c r="C453" s="9">
        <v>117.37350000000001</v>
      </c>
      <c r="D453">
        <v>0.16531689660070298</v>
      </c>
      <c r="E453">
        <f t="shared" si="14"/>
        <v>3.184175677763796</v>
      </c>
      <c r="F453" s="9">
        <v>122.489</v>
      </c>
      <c r="G453" s="20">
        <v>0</v>
      </c>
      <c r="H453">
        <f t="shared" si="15"/>
        <v>0</v>
      </c>
      <c r="I453" s="5">
        <v>115.90909000000001</v>
      </c>
      <c r="J453" s="5">
        <v>134.25702000000001</v>
      </c>
      <c r="K453" s="5">
        <v>148.38317000000001</v>
      </c>
      <c r="L453" s="5">
        <v>109.1891</v>
      </c>
      <c r="M453" s="5">
        <v>131.75375</v>
      </c>
      <c r="N453">
        <v>75.008515525000433</v>
      </c>
    </row>
    <row r="454" spans="1:14" x14ac:dyDescent="0.2">
      <c r="A454" s="4">
        <v>44440</v>
      </c>
      <c r="B454" s="5">
        <v>77.450980000000001</v>
      </c>
      <c r="C454" s="9">
        <v>118.485</v>
      </c>
      <c r="D454">
        <v>0.12517730203675209</v>
      </c>
      <c r="E454">
        <f t="shared" si="14"/>
        <v>2.4110452636686115</v>
      </c>
      <c r="F454" s="9">
        <v>122.831</v>
      </c>
      <c r="G454" s="20">
        <v>8.1814826314219932E-3</v>
      </c>
      <c r="H454">
        <f t="shared" si="15"/>
        <v>-31.632120756769684</v>
      </c>
      <c r="I454" s="5">
        <v>106.81818</v>
      </c>
      <c r="J454" s="5">
        <v>134.8646</v>
      </c>
      <c r="K454" s="5">
        <v>194.49868000000001</v>
      </c>
      <c r="L454" s="5">
        <v>115.50861999999999</v>
      </c>
      <c r="M454" s="5">
        <v>132.50304</v>
      </c>
      <c r="N454">
        <v>75.535988571201756</v>
      </c>
    </row>
    <row r="455" spans="1:14" x14ac:dyDescent="0.2">
      <c r="A455" s="4">
        <v>44470</v>
      </c>
      <c r="B455" s="5">
        <v>73.529409999999999</v>
      </c>
      <c r="C455" s="9">
        <v>118.40950000000001</v>
      </c>
      <c r="D455">
        <v>0.193822631713368</v>
      </c>
      <c r="E455">
        <f t="shared" si="14"/>
        <v>3.7332258371178004</v>
      </c>
      <c r="F455" s="9">
        <v>123.255</v>
      </c>
      <c r="G455" s="20">
        <v>0</v>
      </c>
      <c r="H455">
        <f t="shared" si="15"/>
        <v>0</v>
      </c>
      <c r="I455" s="5">
        <v>102.27273</v>
      </c>
      <c r="J455" s="5">
        <v>136.16444999999999</v>
      </c>
      <c r="K455" s="5">
        <v>262.25036</v>
      </c>
      <c r="L455" s="5">
        <v>131.35579999999999</v>
      </c>
      <c r="M455" s="5">
        <v>133.30296000000001</v>
      </c>
      <c r="N455">
        <v>76.117622587945718</v>
      </c>
    </row>
    <row r="456" spans="1:14" x14ac:dyDescent="0.2">
      <c r="A456" s="4">
        <v>44501</v>
      </c>
      <c r="B456" s="5">
        <v>68.627449999999996</v>
      </c>
      <c r="C456" s="9">
        <v>119.10650000000001</v>
      </c>
      <c r="D456">
        <v>0.47112687019287947</v>
      </c>
      <c r="E456">
        <f t="shared" si="14"/>
        <v>9.0743944028451402</v>
      </c>
      <c r="F456" s="9">
        <v>124.121</v>
      </c>
      <c r="G456" s="20">
        <v>1.4732264731015663E-2</v>
      </c>
      <c r="H456">
        <f t="shared" si="15"/>
        <v>-56.959453192799913</v>
      </c>
      <c r="I456" s="5">
        <v>93.181820000000002</v>
      </c>
      <c r="J456" s="5">
        <v>137.33087</v>
      </c>
      <c r="K456" s="5">
        <v>195.64641</v>
      </c>
      <c r="L456" s="5">
        <v>127.59954999999999</v>
      </c>
      <c r="M456" s="5">
        <v>134.10288</v>
      </c>
      <c r="N456">
        <v>77.439843812671057</v>
      </c>
    </row>
    <row r="457" spans="1:14" x14ac:dyDescent="0.2">
      <c r="A457" s="4">
        <v>44531</v>
      </c>
      <c r="B457" s="5">
        <v>65.686269999999993</v>
      </c>
      <c r="C457" s="9">
        <v>119.465</v>
      </c>
      <c r="D457">
        <v>0.92594026827947729</v>
      </c>
      <c r="E457">
        <f t="shared" si="14"/>
        <v>17.834574335368078</v>
      </c>
      <c r="F457" s="9">
        <v>124.157</v>
      </c>
      <c r="G457" s="20">
        <v>5.7506463063409029E-2</v>
      </c>
      <c r="H457">
        <f t="shared" si="15"/>
        <v>-222.33762092584274</v>
      </c>
      <c r="I457" s="5">
        <v>88.636359999999996</v>
      </c>
      <c r="J457" s="5">
        <v>138.27916999999999</v>
      </c>
      <c r="K457" s="5">
        <v>178.26646</v>
      </c>
      <c r="L457" s="5">
        <v>115.60535</v>
      </c>
      <c r="M457" s="5">
        <v>134.81165999999999</v>
      </c>
      <c r="N457">
        <v>78.349326864697559</v>
      </c>
    </row>
    <row r="458" spans="1:14" x14ac:dyDescent="0.2">
      <c r="A458" s="4">
        <v>44562</v>
      </c>
      <c r="B458" s="5">
        <v>63.725490000000001</v>
      </c>
      <c r="C458" s="9">
        <v>119.148</v>
      </c>
      <c r="D458">
        <v>1.2596718873131176</v>
      </c>
      <c r="E458">
        <f t="shared" si="14"/>
        <v>24.262593044153423</v>
      </c>
      <c r="F458" s="9">
        <v>124.581</v>
      </c>
      <c r="G458" s="20">
        <v>2.4368929755062881E-3</v>
      </c>
      <c r="H458">
        <f t="shared" si="15"/>
        <v>-9.4217755320395984</v>
      </c>
      <c r="I458" s="5">
        <v>90.909090000000006</v>
      </c>
      <c r="J458" s="5">
        <v>139.11520999999999</v>
      </c>
      <c r="K458" s="5">
        <v>232.95043000000001</v>
      </c>
      <c r="L458" s="5">
        <v>134.16088999999999</v>
      </c>
      <c r="M458" s="5">
        <v>135.13568000000001</v>
      </c>
      <c r="N458">
        <v>79.213889136781901</v>
      </c>
    </row>
    <row r="459" spans="1:14" x14ac:dyDescent="0.2">
      <c r="A459" s="4">
        <v>44593</v>
      </c>
      <c r="B459" s="5">
        <v>61.764710000000001</v>
      </c>
      <c r="C459" s="9">
        <v>121.34700000000001</v>
      </c>
      <c r="D459">
        <v>1.9905377279721166</v>
      </c>
      <c r="E459">
        <f t="shared" si="14"/>
        <v>38.339830648944499</v>
      </c>
      <c r="F459" s="9">
        <v>125.379</v>
      </c>
      <c r="G459" s="20">
        <v>0</v>
      </c>
      <c r="H459">
        <f t="shared" si="15"/>
        <v>0</v>
      </c>
      <c r="I459" s="5">
        <v>88.636359999999996</v>
      </c>
      <c r="J459" s="5">
        <v>140.07877999999999</v>
      </c>
      <c r="K459" s="5">
        <v>234.67198999999999</v>
      </c>
      <c r="L459" s="5">
        <v>147.73497</v>
      </c>
      <c r="M459" s="5">
        <v>135.92547999999999</v>
      </c>
      <c r="N459">
        <v>78.967239196499875</v>
      </c>
    </row>
    <row r="460" spans="1:14" x14ac:dyDescent="0.2">
      <c r="A460" s="4">
        <v>44621</v>
      </c>
      <c r="B460" s="5">
        <v>59.803919999999998</v>
      </c>
      <c r="C460" s="9">
        <v>121.47800000000001</v>
      </c>
      <c r="D460">
        <v>2.8297531428419167</v>
      </c>
      <c r="E460">
        <f t="shared" si="14"/>
        <v>54.503993946100834</v>
      </c>
      <c r="F460" s="9">
        <v>126.381</v>
      </c>
      <c r="G460" s="20">
        <v>0.13807234466664189</v>
      </c>
      <c r="H460">
        <f t="shared" si="15"/>
        <v>-533.8300252440232</v>
      </c>
      <c r="I460" s="5">
        <v>84.090909999999994</v>
      </c>
      <c r="J460" s="5">
        <v>141.64156</v>
      </c>
      <c r="K460" s="5">
        <v>225.59753000000001</v>
      </c>
      <c r="L460" s="5">
        <v>174.91535999999999</v>
      </c>
      <c r="M460" s="5">
        <v>136.52287999999999</v>
      </c>
      <c r="N460">
        <v>79.210753692582486</v>
      </c>
    </row>
    <row r="461" spans="1:14" x14ac:dyDescent="0.2">
      <c r="A461" s="4">
        <v>44652</v>
      </c>
      <c r="B461" s="5">
        <v>58.823529999999998</v>
      </c>
      <c r="C461" s="9">
        <v>123.1645</v>
      </c>
      <c r="D461">
        <v>3.5960215266388542</v>
      </c>
      <c r="E461">
        <f t="shared" si="14"/>
        <v>69.263121418828916</v>
      </c>
      <c r="F461" s="9">
        <v>128.06800000000001</v>
      </c>
      <c r="G461" s="20">
        <v>0</v>
      </c>
      <c r="H461">
        <f t="shared" si="15"/>
        <v>0</v>
      </c>
      <c r="I461" s="5">
        <v>84.090909999999994</v>
      </c>
      <c r="J461" s="5">
        <v>142.07829000000001</v>
      </c>
      <c r="K461" s="5">
        <v>251.81395000000001</v>
      </c>
      <c r="L461" s="5">
        <v>164.08189999999999</v>
      </c>
      <c r="M461" s="5">
        <v>136.97853000000001</v>
      </c>
      <c r="N461">
        <v>78.878460975215376</v>
      </c>
    </row>
    <row r="462" spans="1:14" x14ac:dyDescent="0.2">
      <c r="A462" s="4">
        <v>44682</v>
      </c>
      <c r="B462" s="5">
        <v>57.843139999999998</v>
      </c>
      <c r="C462" s="9">
        <v>123.3725</v>
      </c>
      <c r="D462">
        <v>3.6397804143099775</v>
      </c>
      <c r="E462">
        <f t="shared" si="14"/>
        <v>70.105963189231431</v>
      </c>
      <c r="F462" s="9">
        <v>128.66</v>
      </c>
      <c r="G462" s="20">
        <v>-2.3099156642146925E-2</v>
      </c>
      <c r="H462">
        <f t="shared" si="15"/>
        <v>89.308423081860653</v>
      </c>
      <c r="I462" s="5">
        <v>81.818179999999998</v>
      </c>
      <c r="J462" s="5">
        <v>143.42590000000001</v>
      </c>
      <c r="K462" s="5">
        <v>275.40717000000001</v>
      </c>
      <c r="L462" s="5">
        <v>176.60809</v>
      </c>
      <c r="M462" s="5">
        <v>137.39367999999999</v>
      </c>
      <c r="N462">
        <v>79.20611408594786</v>
      </c>
    </row>
    <row r="463" spans="1:14" x14ac:dyDescent="0.2">
      <c r="A463" s="4">
        <v>44713</v>
      </c>
      <c r="B463" s="5">
        <v>56.862749999999998</v>
      </c>
      <c r="C463" s="9">
        <v>123.36534150195</v>
      </c>
      <c r="D463">
        <v>4.1766938766728385</v>
      </c>
      <c r="E463">
        <f t="shared" si="14"/>
        <v>80.447475902533242</v>
      </c>
      <c r="F463" s="9">
        <v>130.1722</v>
      </c>
      <c r="G463" s="20">
        <v>9.3626219624453777E-2</v>
      </c>
      <c r="H463">
        <f t="shared" si="15"/>
        <v>-361.98767614395302</v>
      </c>
      <c r="I463" s="5">
        <v>81.818179999999998</v>
      </c>
      <c r="J463" s="5">
        <v>145.22747000000001</v>
      </c>
      <c r="K463" s="5">
        <v>287.57211999999998</v>
      </c>
      <c r="L463" s="5">
        <v>185.13622000000001</v>
      </c>
      <c r="M463" s="5">
        <v>137.81896</v>
      </c>
      <c r="N463">
        <v>78.970820278697957</v>
      </c>
    </row>
    <row r="464" spans="1:14" x14ac:dyDescent="0.2">
      <c r="A464" s="4">
        <v>44743</v>
      </c>
      <c r="B464" s="5">
        <v>56.862749999999998</v>
      </c>
      <c r="C464" s="9">
        <v>123.6345</v>
      </c>
      <c r="D464">
        <v>4.5091548815380786</v>
      </c>
      <c r="E464">
        <f t="shared" si="14"/>
        <v>86.851021258539561</v>
      </c>
      <c r="F464" s="9">
        <v>130.69200000000001</v>
      </c>
      <c r="G464" s="20">
        <v>1.0118902056358707E-2</v>
      </c>
      <c r="H464">
        <f t="shared" si="15"/>
        <v>-39.122778375565815</v>
      </c>
      <c r="I464" s="5">
        <v>79.545450000000002</v>
      </c>
      <c r="J464" s="5">
        <v>145.20581000000001</v>
      </c>
      <c r="K464" s="5">
        <v>255.6891</v>
      </c>
      <c r="L464" s="5">
        <v>163.82396</v>
      </c>
      <c r="M464" s="5">
        <v>138.41636</v>
      </c>
      <c r="N464">
        <v>78.938069353819756</v>
      </c>
    </row>
    <row r="465" spans="1:14" x14ac:dyDescent="0.2">
      <c r="A465" s="4">
        <v>44774</v>
      </c>
      <c r="B465" s="5">
        <v>56.862749999999998</v>
      </c>
      <c r="C465" s="9">
        <v>124.36750000000001</v>
      </c>
      <c r="D465">
        <v>4.6910581071544115</v>
      </c>
      <c r="E465">
        <f t="shared" si="14"/>
        <v>90.354666914998404</v>
      </c>
      <c r="F465" s="9">
        <v>130.45599999999999</v>
      </c>
      <c r="G465" s="20">
        <v>0</v>
      </c>
      <c r="H465">
        <f t="shared" si="15"/>
        <v>0</v>
      </c>
      <c r="I465" s="5">
        <v>81.818179999999998</v>
      </c>
      <c r="J465" s="5">
        <v>145.29641000000001</v>
      </c>
      <c r="K465" s="5">
        <v>284.51985000000002</v>
      </c>
      <c r="L465" s="5">
        <v>151.00757999999999</v>
      </c>
      <c r="M465" s="5">
        <v>138.72013000000001</v>
      </c>
      <c r="N465">
        <v>79.056741071275766</v>
      </c>
    </row>
    <row r="466" spans="1:14" x14ac:dyDescent="0.2">
      <c r="A466" s="4">
        <v>44805</v>
      </c>
      <c r="B466" s="5">
        <v>57.843139999999998</v>
      </c>
      <c r="C466" s="9">
        <v>125.0675</v>
      </c>
      <c r="D466">
        <v>5.475919606526956</v>
      </c>
      <c r="E466">
        <f t="shared" si="14"/>
        <v>105.47191716650508</v>
      </c>
      <c r="F466" s="9">
        <v>130.37100000000001</v>
      </c>
      <c r="G466" s="20">
        <v>0.13455133728628854</v>
      </c>
      <c r="H466">
        <f t="shared" si="15"/>
        <v>-520.21673097226653</v>
      </c>
      <c r="I466" s="5">
        <v>79.545450000000002</v>
      </c>
      <c r="J466" s="5">
        <v>145.91284999999999</v>
      </c>
      <c r="K466" s="5">
        <v>255.40125</v>
      </c>
      <c r="L466" s="5">
        <v>135.83750000000001</v>
      </c>
      <c r="M466" s="5">
        <v>139.15553</v>
      </c>
      <c r="N466">
        <v>77.950404060977917</v>
      </c>
    </row>
    <row r="467" spans="1:14" x14ac:dyDescent="0.2">
      <c r="A467" s="4">
        <v>44835</v>
      </c>
      <c r="B467" s="5">
        <v>58.823529999999998</v>
      </c>
      <c r="C467" s="9">
        <v>124.803</v>
      </c>
      <c r="D467">
        <v>6.2959503643677168</v>
      </c>
      <c r="E467">
        <f t="shared" si="14"/>
        <v>121.26656398014278</v>
      </c>
      <c r="F467" s="9">
        <v>131.351</v>
      </c>
      <c r="G467" s="20">
        <v>0</v>
      </c>
      <c r="H467">
        <f t="shared" si="15"/>
        <v>0</v>
      </c>
      <c r="I467" s="5">
        <v>81.818179999999998</v>
      </c>
      <c r="J467" s="5">
        <v>146.72919999999999</v>
      </c>
      <c r="K467" s="5">
        <v>279.17209000000003</v>
      </c>
      <c r="L467" s="5">
        <v>141.14138</v>
      </c>
      <c r="M467" s="5">
        <v>139.57068000000001</v>
      </c>
      <c r="N467">
        <v>78.169138127488608</v>
      </c>
    </row>
    <row r="468" spans="1:14" x14ac:dyDescent="0.2">
      <c r="A468" s="4">
        <v>44866</v>
      </c>
      <c r="B468" s="5">
        <v>58.823529999999998</v>
      </c>
      <c r="C468" s="9">
        <v>125.2655</v>
      </c>
      <c r="D468">
        <v>6.5720077826722321</v>
      </c>
      <c r="E468">
        <f t="shared" si="14"/>
        <v>126.58371749019581</v>
      </c>
      <c r="F468" s="9">
        <v>131.923</v>
      </c>
      <c r="G468" s="20">
        <v>-7.8808434142580916E-2</v>
      </c>
      <c r="H468">
        <f t="shared" si="15"/>
        <v>304.69757350285693</v>
      </c>
      <c r="I468" s="5">
        <v>81.818179999999998</v>
      </c>
      <c r="J468" s="5">
        <v>147.11275000000001</v>
      </c>
      <c r="K468" s="5">
        <v>218.30488</v>
      </c>
      <c r="L468" s="5">
        <v>136.01482999999999</v>
      </c>
      <c r="M468" s="5">
        <v>139.98581999999999</v>
      </c>
      <c r="N468">
        <v>78.034037568961622</v>
      </c>
    </row>
    <row r="469" spans="1:14" x14ac:dyDescent="0.2">
      <c r="A469" s="4">
        <v>44896</v>
      </c>
      <c r="B469" s="5">
        <v>58.823529999999998</v>
      </c>
      <c r="C469" s="9">
        <v>126.1315</v>
      </c>
      <c r="D469">
        <v>6.2881430413794952</v>
      </c>
      <c r="E469">
        <f t="shared" si="14"/>
        <v>121.11618680467724</v>
      </c>
      <c r="F469" s="9">
        <v>131.65100000000001</v>
      </c>
      <c r="G469" s="20">
        <v>9.0689722554965727E-2</v>
      </c>
      <c r="H469">
        <f t="shared" si="15"/>
        <v>-350.63427797780651</v>
      </c>
      <c r="I469" s="5">
        <v>79.545450000000002</v>
      </c>
      <c r="J469" s="5">
        <v>147.1354</v>
      </c>
      <c r="K469" s="5">
        <v>199.90298999999999</v>
      </c>
      <c r="L469" s="5">
        <v>123.23069</v>
      </c>
      <c r="M469" s="5">
        <v>140.30984000000001</v>
      </c>
      <c r="N469">
        <v>79.448908498645324</v>
      </c>
    </row>
    <row r="470" spans="1:14" x14ac:dyDescent="0.2">
      <c r="A470" s="4">
        <v>44927</v>
      </c>
      <c r="B470" s="5">
        <v>58.823529999999998</v>
      </c>
      <c r="C470" s="16">
        <v>126.63665</v>
      </c>
      <c r="D470">
        <v>6.2313809587319948</v>
      </c>
      <c r="E470">
        <f t="shared" si="14"/>
        <v>120.02288995056354</v>
      </c>
      <c r="F470" s="16">
        <v>131.77529999999999</v>
      </c>
      <c r="G470" s="20">
        <v>0</v>
      </c>
      <c r="H470">
        <f t="shared" si="15"/>
        <v>0</v>
      </c>
      <c r="I470" s="5">
        <v>79.545450000000002</v>
      </c>
      <c r="J470" s="5">
        <v>147.91728000000001</v>
      </c>
      <c r="K470" s="5">
        <v>248.62795</v>
      </c>
      <c r="L470" s="5">
        <v>125.93906</v>
      </c>
      <c r="M470" s="5">
        <v>140.74524</v>
      </c>
      <c r="N470">
        <v>79.623257991934821</v>
      </c>
    </row>
    <row r="471" spans="1:14" x14ac:dyDescent="0.2">
      <c r="A471" s="4">
        <v>44958</v>
      </c>
      <c r="B471" s="5">
        <v>58.823529999999998</v>
      </c>
      <c r="C471" s="16">
        <v>127.32599999999999</v>
      </c>
      <c r="D471">
        <v>6.4009871335394717</v>
      </c>
      <c r="E471">
        <f t="shared" si="14"/>
        <v>123.28968159573301</v>
      </c>
      <c r="F471" s="16">
        <v>132.685</v>
      </c>
      <c r="G471" s="20">
        <v>2.5870853664185432E-2</v>
      </c>
      <c r="H471">
        <f t="shared" si="15"/>
        <v>-100.02465372758439</v>
      </c>
      <c r="I471" s="5">
        <v>81.818179999999998</v>
      </c>
      <c r="J471" s="5">
        <v>148.42442</v>
      </c>
      <c r="K471" s="5">
        <v>266.11601000000002</v>
      </c>
      <c r="L471" s="5">
        <v>123.85942</v>
      </c>
      <c r="M471" s="5">
        <v>141.08950999999999</v>
      </c>
      <c r="N471">
        <v>80.093697399474408</v>
      </c>
    </row>
    <row r="472" spans="1:14" x14ac:dyDescent="0.2">
      <c r="A472" s="4">
        <v>44986</v>
      </c>
      <c r="B472" s="5">
        <v>58.823529999999998</v>
      </c>
      <c r="C472" s="9">
        <v>127.77765000000001</v>
      </c>
      <c r="D472">
        <v>6.3900090739318403</v>
      </c>
      <c r="E472">
        <f t="shared" si="14"/>
        <v>123.07823272928051</v>
      </c>
      <c r="F472" s="9">
        <v>132.77719999999999</v>
      </c>
      <c r="G472" s="20">
        <v>-5.988289971870317E-2</v>
      </c>
      <c r="H472">
        <f t="shared" si="15"/>
        <v>231.52565378462702</v>
      </c>
      <c r="I472" s="5">
        <v>79.545450000000002</v>
      </c>
      <c r="J472" s="5">
        <v>148.60709</v>
      </c>
      <c r="K472" s="5">
        <v>172.09229999999999</v>
      </c>
      <c r="L472" s="5">
        <v>118.13639000000001</v>
      </c>
      <c r="M472" s="5">
        <v>141.42365000000001</v>
      </c>
      <c r="N472">
        <v>80.514405645273825</v>
      </c>
    </row>
    <row r="473" spans="1:14" x14ac:dyDescent="0.2">
      <c r="A473" s="4">
        <v>45017</v>
      </c>
      <c r="B473" s="5">
        <v>59.803919999999998</v>
      </c>
      <c r="C473" s="9">
        <v>127.946</v>
      </c>
      <c r="D473">
        <v>6.0650660826406817</v>
      </c>
      <c r="E473">
        <f t="shared" si="14"/>
        <v>116.8194921479822</v>
      </c>
      <c r="F473" s="9">
        <v>133.124</v>
      </c>
      <c r="G473" s="20">
        <v>0</v>
      </c>
      <c r="H473">
        <f t="shared" si="15"/>
        <v>0</v>
      </c>
      <c r="I473" s="5">
        <v>77.272729999999996</v>
      </c>
      <c r="J473" s="5">
        <v>149.11127999999999</v>
      </c>
      <c r="K473" s="5">
        <v>181.39653999999999</v>
      </c>
      <c r="L473" s="5">
        <v>128.08319</v>
      </c>
      <c r="M473" s="5">
        <v>141.79830000000001</v>
      </c>
      <c r="N473">
        <v>81.013805055015055</v>
      </c>
    </row>
    <row r="474" spans="1:14" x14ac:dyDescent="0.2">
      <c r="A474" s="4">
        <v>45047</v>
      </c>
      <c r="B474" s="5">
        <v>60.784309999999998</v>
      </c>
      <c r="C474" s="9">
        <v>128.78100000000001</v>
      </c>
      <c r="D474">
        <v>6.1093533671895335</v>
      </c>
      <c r="E474">
        <f t="shared" si="14"/>
        <v>117.67251139280425</v>
      </c>
      <c r="F474" s="9">
        <v>133.14699999999999</v>
      </c>
      <c r="G474" s="20">
        <v>3.1400188451878586E-2</v>
      </c>
      <c r="H474">
        <f t="shared" si="15"/>
        <v>-121.40275762249151</v>
      </c>
      <c r="I474" s="5">
        <v>81.818179999999998</v>
      </c>
      <c r="J474" s="5">
        <v>149.35203999999999</v>
      </c>
      <c r="K474" s="5">
        <v>178.00377</v>
      </c>
      <c r="L474" s="5">
        <v>115.39578</v>
      </c>
      <c r="M474" s="5">
        <v>142.06155999999999</v>
      </c>
      <c r="N474">
        <v>80.989691675137394</v>
      </c>
    </row>
    <row r="475" spans="1:14" x14ac:dyDescent="0.2">
      <c r="A475" s="4">
        <v>45078</v>
      </c>
      <c r="B475" s="5">
        <v>59.803919999999998</v>
      </c>
      <c r="C475" s="17">
        <v>129.46934999999999</v>
      </c>
      <c r="D475">
        <v>6.959985237544557</v>
      </c>
      <c r="E475">
        <f t="shared" si="14"/>
        <v>134.05656751779489</v>
      </c>
      <c r="F475" s="17">
        <v>133.21959999999999</v>
      </c>
      <c r="G475" s="20">
        <v>9.786363477098553E-2</v>
      </c>
      <c r="H475">
        <f t="shared" si="15"/>
        <v>-378.37082253075414</v>
      </c>
      <c r="I475" s="5">
        <v>81.818179999999998</v>
      </c>
      <c r="J475" s="5">
        <v>149.68684999999999</v>
      </c>
      <c r="K475" s="5">
        <v>172.40984</v>
      </c>
      <c r="L475" s="5">
        <v>113.25165</v>
      </c>
      <c r="M475" s="5">
        <v>142.41596000000001</v>
      </c>
      <c r="N475">
        <v>80.998056985976191</v>
      </c>
    </row>
    <row r="476" spans="1:14" x14ac:dyDescent="0.2">
      <c r="A476" s="4">
        <v>45108</v>
      </c>
      <c r="B476" s="5">
        <v>58.823529999999998</v>
      </c>
      <c r="C476" s="17">
        <v>129.53500000000003</v>
      </c>
      <c r="D476">
        <v>7.1844921644710613</v>
      </c>
      <c r="E476">
        <f t="shared" si="14"/>
        <v>138.38080485171679</v>
      </c>
      <c r="F476" s="17">
        <v>133.74299999999999</v>
      </c>
      <c r="G476" s="20">
        <v>1.4124286346945524E-2</v>
      </c>
      <c r="H476">
        <f t="shared" si="15"/>
        <v>-54.608822319545858</v>
      </c>
      <c r="I476" s="5">
        <v>79.545450000000002</v>
      </c>
      <c r="J476" s="5">
        <v>149.97980999999999</v>
      </c>
      <c r="K476" s="5">
        <v>117.51653</v>
      </c>
      <c r="L476" s="5">
        <v>122.63421</v>
      </c>
      <c r="M476" s="5">
        <v>142.80072999999999</v>
      </c>
      <c r="N476">
        <v>81.136239841419425</v>
      </c>
    </row>
    <row r="477" spans="1:14" x14ac:dyDescent="0.2">
      <c r="A477" s="4">
        <v>45139</v>
      </c>
      <c r="B477" s="5">
        <v>56.862749999999998</v>
      </c>
      <c r="C477" s="17">
        <v>130.65549999999999</v>
      </c>
      <c r="D477">
        <v>7.0484785902470746</v>
      </c>
      <c r="E477">
        <f t="shared" si="14"/>
        <v>135.76104169504563</v>
      </c>
      <c r="F477" s="17">
        <v>134.36500000000001</v>
      </c>
      <c r="G477" s="20">
        <v>0</v>
      </c>
      <c r="H477">
        <f t="shared" si="15"/>
        <v>0</v>
      </c>
      <c r="I477" s="5">
        <v>84.090909999999994</v>
      </c>
      <c r="J477" s="5">
        <v>150.70507000000001</v>
      </c>
      <c r="K477" s="5">
        <v>154.38991999999999</v>
      </c>
      <c r="L477" s="5">
        <v>131.2107</v>
      </c>
      <c r="M477" s="5">
        <v>142.97286</v>
      </c>
      <c r="N477">
        <v>81.620814906159069</v>
      </c>
    </row>
    <row r="478" spans="1:14" x14ac:dyDescent="0.2">
      <c r="A478" s="4">
        <v>45170</v>
      </c>
      <c r="B478" s="5">
        <v>55.882350000000002</v>
      </c>
      <c r="C478" s="17">
        <v>130.80700000000002</v>
      </c>
      <c r="D478">
        <v>7.0167749684589316</v>
      </c>
      <c r="E478">
        <f t="shared" si="14"/>
        <v>135.15039690633625</v>
      </c>
      <c r="F478" s="17">
        <v>134.65199999999999</v>
      </c>
      <c r="G478" s="20">
        <v>8.6885526866603072E-2</v>
      </c>
      <c r="H478">
        <f t="shared" si="15"/>
        <v>-335.92609086578972</v>
      </c>
      <c r="I478" s="5">
        <v>84.090909999999994</v>
      </c>
      <c r="J478" s="5">
        <v>151.29295999999999</v>
      </c>
      <c r="K478" s="5">
        <v>205.42757</v>
      </c>
      <c r="L478" s="5">
        <v>144.17216999999999</v>
      </c>
      <c r="M478" s="5">
        <v>143.31712999999999</v>
      </c>
      <c r="N478">
        <v>82.132630261157857</v>
      </c>
    </row>
    <row r="479" spans="1:14" x14ac:dyDescent="0.2">
      <c r="A479" s="4">
        <v>45200</v>
      </c>
      <c r="B479" s="5">
        <v>54.901960000000003</v>
      </c>
      <c r="C479" s="17">
        <v>130.17349999999999</v>
      </c>
      <c r="D479">
        <v>6.7628013718764075</v>
      </c>
      <c r="E479">
        <f t="shared" si="14"/>
        <v>130.25860081252529</v>
      </c>
      <c r="F479" s="17">
        <v>134.91900000000001</v>
      </c>
      <c r="G479" s="20">
        <v>0</v>
      </c>
      <c r="H479">
        <f t="shared" si="15"/>
        <v>0</v>
      </c>
      <c r="I479" s="5">
        <v>88.636359999999996</v>
      </c>
      <c r="J479" s="5">
        <v>151.49975000000001</v>
      </c>
      <c r="K479" s="5">
        <v>167.96496999999999</v>
      </c>
      <c r="L479" s="5">
        <v>138.06223</v>
      </c>
      <c r="M479" s="5">
        <v>143.49939000000001</v>
      </c>
      <c r="N479">
        <v>82.204101448887457</v>
      </c>
    </row>
    <row r="480" spans="1:14" x14ac:dyDescent="0.2">
      <c r="A480" s="4">
        <v>45231</v>
      </c>
      <c r="B480" s="5">
        <v>54.901960000000003</v>
      </c>
      <c r="C480" s="17">
        <v>130.49900000000002</v>
      </c>
      <c r="D480">
        <v>6.7898356393332628</v>
      </c>
      <c r="E480">
        <f t="shared" si="14"/>
        <v>130.77930897165677</v>
      </c>
      <c r="F480" s="17">
        <v>134.417</v>
      </c>
      <c r="G480" s="20">
        <v>-6.2288303864261041E-3</v>
      </c>
      <c r="H480">
        <f t="shared" si="15"/>
        <v>24.082568384383602</v>
      </c>
      <c r="I480" s="5">
        <v>84.090909999999994</v>
      </c>
      <c r="J480" s="5">
        <v>151.72229999999999</v>
      </c>
      <c r="K480" s="5">
        <v>212.86904999999999</v>
      </c>
      <c r="L480" s="5">
        <v>125.24585</v>
      </c>
      <c r="M480" s="5">
        <v>143.96517</v>
      </c>
      <c r="N480">
        <v>82.196699351184648</v>
      </c>
    </row>
    <row r="481" spans="1:14" x14ac:dyDescent="0.2">
      <c r="A481" s="4">
        <v>45261</v>
      </c>
      <c r="B481" s="5">
        <v>55.882350000000002</v>
      </c>
      <c r="C481" s="17">
        <v>130.70500000000001</v>
      </c>
      <c r="D481">
        <v>6.3684936409745596</v>
      </c>
      <c r="E481">
        <f t="shared" si="14"/>
        <v>122.66382307287012</v>
      </c>
      <c r="F481" s="17">
        <v>134.262</v>
      </c>
      <c r="G481" s="20">
        <v>-8.1874298410377661E-2</v>
      </c>
      <c r="H481">
        <f t="shared" si="15"/>
        <v>316.55114492893921</v>
      </c>
      <c r="I481" s="5">
        <v>86.363640000000004</v>
      </c>
      <c r="J481" s="5">
        <v>152.01428000000001</v>
      </c>
      <c r="K481" s="5">
        <v>154.75449</v>
      </c>
      <c r="L481" s="5">
        <v>115.91166</v>
      </c>
      <c r="M481" s="5">
        <v>144.22843</v>
      </c>
      <c r="N481">
        <v>81.869996410587433</v>
      </c>
    </row>
    <row r="482" spans="1:14" x14ac:dyDescent="0.2">
      <c r="A482" s="4">
        <v>45292</v>
      </c>
      <c r="B482" s="5">
        <v>56.862749999999998</v>
      </c>
      <c r="C482" s="17">
        <v>129.86599999999999</v>
      </c>
      <c r="D482">
        <v>5.9006974911301464</v>
      </c>
      <c r="E482">
        <f t="shared" si="14"/>
        <v>113.65358181432599</v>
      </c>
      <c r="F482" s="17">
        <v>134.643</v>
      </c>
      <c r="H482">
        <f t="shared" si="15"/>
        <v>0</v>
      </c>
      <c r="I482" s="5">
        <v>84.090909999999994</v>
      </c>
      <c r="J482" s="5">
        <v>152.48548</v>
      </c>
      <c r="K482" s="5">
        <v>201.429</v>
      </c>
      <c r="L482" s="5">
        <v>119.53892999999999</v>
      </c>
      <c r="M482" s="5">
        <v>144.54231999999999</v>
      </c>
      <c r="N482">
        <v>82.152722314872307</v>
      </c>
    </row>
    <row r="483" spans="1:14" x14ac:dyDescent="0.2">
      <c r="A483" s="4">
        <v>45323</v>
      </c>
      <c r="B483" s="5">
        <v>57.843139999999998</v>
      </c>
      <c r="C483" s="17">
        <v>132.02199999999999</v>
      </c>
      <c r="D483">
        <v>6.1375511238410869</v>
      </c>
      <c r="E483">
        <f t="shared" si="14"/>
        <v>118.21562956610411</v>
      </c>
      <c r="F483" s="17">
        <v>135.185</v>
      </c>
      <c r="H483">
        <f t="shared" si="15"/>
        <v>0</v>
      </c>
      <c r="I483" s="5">
        <v>88.636359999999996</v>
      </c>
      <c r="J483" s="5">
        <v>153.11028999999999</v>
      </c>
      <c r="K483" s="5">
        <v>165.83496</v>
      </c>
      <c r="L483" s="5">
        <v>124.53651000000001</v>
      </c>
      <c r="M483" s="5">
        <v>144.76508999999999</v>
      </c>
      <c r="N483">
        <v>82.010073931893075</v>
      </c>
    </row>
    <row r="484" spans="1:14" x14ac:dyDescent="0.2">
      <c r="A484" s="4">
        <v>45352</v>
      </c>
      <c r="B484" s="5">
        <v>57.843139999999998</v>
      </c>
      <c r="C484" s="17">
        <v>132.583</v>
      </c>
      <c r="D484">
        <v>6.2432226636552643</v>
      </c>
      <c r="E484">
        <f t="shared" si="14"/>
        <v>120.25097352565631</v>
      </c>
      <c r="F484" s="17">
        <v>136.136</v>
      </c>
      <c r="H484">
        <f t="shared" si="15"/>
        <v>0</v>
      </c>
      <c r="I484" s="5">
        <v>88.636359999999996</v>
      </c>
      <c r="J484" s="5">
        <v>153.78877</v>
      </c>
      <c r="K484" s="5">
        <v>175.38686999999999</v>
      </c>
      <c r="L484" s="5">
        <v>131.03336999999999</v>
      </c>
      <c r="M484" s="5">
        <v>145.14985999999999</v>
      </c>
      <c r="N484">
        <v>82.1478676244692</v>
      </c>
    </row>
    <row r="485" spans="1:14" x14ac:dyDescent="0.2">
      <c r="A485" s="4">
        <v>45383</v>
      </c>
      <c r="B485" s="5">
        <v>57.843139999999998</v>
      </c>
      <c r="C485" s="17">
        <v>132.62799999999999</v>
      </c>
      <c r="D485">
        <v>6.3188847280769105</v>
      </c>
      <c r="E485">
        <f t="shared" si="14"/>
        <v>121.70830372126669</v>
      </c>
      <c r="F485" s="17">
        <v>136.398</v>
      </c>
      <c r="H485">
        <f t="shared" si="15"/>
        <v>0</v>
      </c>
      <c r="I485" s="5">
        <v>88.636359999999996</v>
      </c>
      <c r="J485" s="5">
        <v>154.12260000000001</v>
      </c>
      <c r="K485" s="5">
        <v>152.00058999999999</v>
      </c>
      <c r="L485" s="5">
        <v>137.59470999999999</v>
      </c>
      <c r="M485" s="5">
        <v>145.43337</v>
      </c>
      <c r="N485">
        <v>81.808532648595815</v>
      </c>
    </row>
    <row r="486" spans="1:14" x14ac:dyDescent="0.2">
      <c r="A486" s="4">
        <v>45413</v>
      </c>
      <c r="B486" s="5">
        <v>56.862749999999998</v>
      </c>
      <c r="C486" s="17">
        <v>132.571</v>
      </c>
      <c r="D486">
        <v>6.4089732096212879</v>
      </c>
      <c r="E486">
        <f t="shared" si="14"/>
        <v>123.44350174203002</v>
      </c>
      <c r="F486" s="17">
        <v>136.5</v>
      </c>
      <c r="H486">
        <f t="shared" si="15"/>
        <v>0</v>
      </c>
      <c r="I486" s="5">
        <v>88.636359999999996</v>
      </c>
      <c r="J486" s="5">
        <v>154.19744</v>
      </c>
      <c r="K486" s="5">
        <v>85.447959999999995</v>
      </c>
      <c r="L486" s="5">
        <v>129.00210000000001</v>
      </c>
      <c r="M486" s="5">
        <v>145.77763999999999</v>
      </c>
      <c r="N486">
        <v>81.863647326109685</v>
      </c>
    </row>
    <row r="487" spans="1:14" x14ac:dyDescent="0.2">
      <c r="A487" s="4">
        <v>45444</v>
      </c>
      <c r="B487" s="5">
        <v>55.882350000000002</v>
      </c>
      <c r="C487" s="17">
        <v>132.20599999999999</v>
      </c>
      <c r="D487">
        <v>6.3519157948669198</v>
      </c>
      <c r="E487">
        <f t="shared" si="14"/>
        <v>122.34451648382161</v>
      </c>
      <c r="F487" s="17">
        <v>136.27500000000001</v>
      </c>
      <c r="H487">
        <f t="shared" si="15"/>
        <v>0</v>
      </c>
      <c r="I487" s="5">
        <v>93.181820000000002</v>
      </c>
      <c r="J487" s="5">
        <v>154.13293999999999</v>
      </c>
      <c r="K487" s="5">
        <v>93.980130000000003</v>
      </c>
      <c r="L487" s="5">
        <v>128.59906000000001</v>
      </c>
      <c r="M487" s="5">
        <v>145.9599</v>
      </c>
      <c r="N487">
        <v>81.741984389843054</v>
      </c>
    </row>
    <row r="488" spans="1:14" x14ac:dyDescent="0.2">
      <c r="A488" s="4">
        <v>45474</v>
      </c>
      <c r="B488" s="5">
        <v>54.901960000000003</v>
      </c>
      <c r="C488" s="17">
        <v>132.661</v>
      </c>
      <c r="D488">
        <v>5.966959077960122</v>
      </c>
      <c r="E488">
        <f t="shared" si="14"/>
        <v>114.92984901684704</v>
      </c>
      <c r="F488" s="17">
        <v>136.898</v>
      </c>
      <c r="H488">
        <f t="shared" si="15"/>
        <v>0</v>
      </c>
      <c r="I488" s="5">
        <v>95.454549999999998</v>
      </c>
      <c r="J488" s="5">
        <v>154.39143000000001</v>
      </c>
      <c r="K488" s="5">
        <v>92.666970000000006</v>
      </c>
      <c r="L488" s="5">
        <v>131.87166999999999</v>
      </c>
      <c r="M488" s="5">
        <v>146.22317000000001</v>
      </c>
      <c r="N488">
        <v>81.889177076046124</v>
      </c>
    </row>
    <row r="489" spans="1:14" x14ac:dyDescent="0.2">
      <c r="A489" s="4">
        <v>45505</v>
      </c>
      <c r="B489" s="5">
        <v>53.921570000000003</v>
      </c>
      <c r="C489" s="17">
        <v>134.524</v>
      </c>
      <c r="D489">
        <v>5.3507300325495528</v>
      </c>
      <c r="E489">
        <f t="shared" si="14"/>
        <v>103.06063553247297</v>
      </c>
      <c r="F489" s="17">
        <v>136.35400000000001</v>
      </c>
      <c r="H489">
        <f t="shared" si="15"/>
        <v>0</v>
      </c>
      <c r="I489" s="5">
        <v>95.454549999999998</v>
      </c>
      <c r="J489" s="5">
        <v>154.63417000000001</v>
      </c>
      <c r="K489" s="5">
        <v>135.81650999999999</v>
      </c>
      <c r="L489" s="5">
        <v>123.6176</v>
      </c>
      <c r="M489" s="5">
        <v>146.46618000000001</v>
      </c>
      <c r="N489">
        <v>81.753411186250688</v>
      </c>
    </row>
    <row r="490" spans="1:14" x14ac:dyDescent="0.2">
      <c r="A490" s="4">
        <v>45536</v>
      </c>
      <c r="B490" s="5">
        <v>52.941180000000003</v>
      </c>
      <c r="C490" s="17">
        <v>133.672</v>
      </c>
      <c r="D490">
        <v>4.732885936985352</v>
      </c>
      <c r="E490">
        <f t="shared" si="14"/>
        <v>91.160314499364901</v>
      </c>
      <c r="F490" s="17">
        <v>136.67599999999999</v>
      </c>
      <c r="H490">
        <f t="shared" si="15"/>
        <v>0</v>
      </c>
      <c r="I490" s="5">
        <v>93.181820000000002</v>
      </c>
      <c r="J490" s="5">
        <v>154.96405999999999</v>
      </c>
      <c r="K490" s="5">
        <v>152.13319999999999</v>
      </c>
      <c r="L490" s="5">
        <v>113.23553</v>
      </c>
      <c r="M490" s="5">
        <v>146.88132999999999</v>
      </c>
      <c r="N490">
        <v>81.564381301206183</v>
      </c>
    </row>
    <row r="491" spans="1:14" x14ac:dyDescent="0.2">
      <c r="A491" s="4">
        <v>45566</v>
      </c>
      <c r="B491" s="5">
        <v>52.941180000000003</v>
      </c>
      <c r="C491" s="17">
        <v>134.15800000000002</v>
      </c>
      <c r="D491">
        <v>4.9461187288322375</v>
      </c>
      <c r="E491">
        <f t="shared" si="14"/>
        <v>95.267400244752864</v>
      </c>
      <c r="F491" s="17">
        <v>136.751</v>
      </c>
      <c r="H491">
        <f t="shared" si="15"/>
        <v>0</v>
      </c>
      <c r="I491" s="5">
        <v>93.181820000000002</v>
      </c>
      <c r="J491" s="5">
        <v>155.4067</v>
      </c>
      <c r="K491" s="5">
        <v>145.61824999999999</v>
      </c>
      <c r="L491" s="5">
        <v>116.05674999999999</v>
      </c>
      <c r="M491" s="5">
        <v>147.13446999999999</v>
      </c>
      <c r="N491">
        <v>81.362234314551813</v>
      </c>
    </row>
    <row r="492" spans="1:14" x14ac:dyDescent="0.2">
      <c r="A492" s="4">
        <v>45597</v>
      </c>
      <c r="B492" s="5">
        <v>52.941180000000003</v>
      </c>
      <c r="C492" s="17">
        <v>134.143</v>
      </c>
      <c r="D492">
        <v>5.3417577173913422</v>
      </c>
      <c r="E492">
        <f t="shared" si="14"/>
        <v>102.88781939396894</v>
      </c>
      <c r="F492" s="17">
        <v>136.744</v>
      </c>
      <c r="H492">
        <f t="shared" si="15"/>
        <v>0</v>
      </c>
      <c r="I492" s="5">
        <v>95.454549999999998</v>
      </c>
      <c r="J492" s="5">
        <v>155.84835000000001</v>
      </c>
      <c r="K492" s="5">
        <v>128.00538</v>
      </c>
      <c r="L492" s="5">
        <v>112.76802000000001</v>
      </c>
      <c r="M492" s="5">
        <v>147.43823</v>
      </c>
      <c r="N492">
        <v>81.036841223211582</v>
      </c>
    </row>
    <row r="493" spans="1:14" x14ac:dyDescent="0.2">
      <c r="A493" s="4">
        <v>45627</v>
      </c>
      <c r="B493" s="5">
        <v>52.941180000000003</v>
      </c>
      <c r="C493" s="9">
        <v>132.79830000000001</v>
      </c>
      <c r="D493">
        <v>5.1797694637364087</v>
      </c>
      <c r="E493">
        <f t="shared" si="14"/>
        <v>99.767756847565693</v>
      </c>
      <c r="F493" s="9">
        <v>136.83620000000002</v>
      </c>
      <c r="H493">
        <f t="shared" si="15"/>
        <v>0</v>
      </c>
      <c r="I493" s="5">
        <v>93.181820000000002</v>
      </c>
      <c r="J493" s="5">
        <v>156.37814</v>
      </c>
      <c r="K493" s="5">
        <v>116.33353</v>
      </c>
      <c r="L493" s="5">
        <v>113.04208</v>
      </c>
      <c r="M493" s="5">
        <v>147.87362999999999</v>
      </c>
      <c r="N493">
        <v>80.752431847698276</v>
      </c>
    </row>
    <row r="494" spans="1:14" x14ac:dyDescent="0.2">
      <c r="A494" s="4">
        <v>45658</v>
      </c>
      <c r="B494" s="5">
        <v>52.941180000000003</v>
      </c>
      <c r="C494" s="9">
        <v>133.60550000000001</v>
      </c>
      <c r="D494">
        <v>5.0584620695973053</v>
      </c>
      <c r="E494">
        <f t="shared" si="14"/>
        <v>97.431250042192971</v>
      </c>
      <c r="F494" s="9">
        <v>137.05600000000001</v>
      </c>
      <c r="H494">
        <f t="shared" si="15"/>
        <v>0</v>
      </c>
      <c r="I494" s="5">
        <v>90.909090000000006</v>
      </c>
      <c r="J494" s="5">
        <v>157.04628</v>
      </c>
      <c r="K494" s="5">
        <v>144.19836000000001</v>
      </c>
      <c r="L494" s="5">
        <v>122.10221</v>
      </c>
      <c r="M494" s="5">
        <v>148.24827999999999</v>
      </c>
      <c r="N494">
        <v>80.847602650293481</v>
      </c>
    </row>
    <row r="495" spans="1:14" x14ac:dyDescent="0.2">
      <c r="A495" s="4">
        <v>45689</v>
      </c>
      <c r="B495" s="5">
        <v>52.941180000000003</v>
      </c>
      <c r="C495" s="9">
        <v>133.98775000000001</v>
      </c>
      <c r="D495">
        <v>5.1242410836237982</v>
      </c>
      <c r="E495">
        <f t="shared" si="14"/>
        <v>98.698222389710125</v>
      </c>
      <c r="F495" s="9">
        <v>137.09979999999999</v>
      </c>
      <c r="H495">
        <f t="shared" si="15"/>
        <v>0</v>
      </c>
      <c r="I495" s="5">
        <v>95.454549999999998</v>
      </c>
      <c r="J495" s="5">
        <v>157.3998</v>
      </c>
      <c r="K495" s="5">
        <v>128.32298</v>
      </c>
      <c r="L495" s="5">
        <v>115.31516999999999</v>
      </c>
      <c r="M495" s="5">
        <v>148.41029</v>
      </c>
      <c r="N495">
        <v>81.355726606387165</v>
      </c>
    </row>
    <row r="496" spans="1:14" x14ac:dyDescent="0.2">
      <c r="A496" s="4">
        <v>45717</v>
      </c>
      <c r="B496" s="5">
        <v>53.921570000000003</v>
      </c>
      <c r="C496" s="11">
        <v>134.80525</v>
      </c>
      <c r="D496">
        <v>4.7761123544842565</v>
      </c>
      <c r="E496">
        <f t="shared" si="14"/>
        <v>91.992900339451921</v>
      </c>
      <c r="F496" s="11">
        <v>137.42490000000001</v>
      </c>
      <c r="H496">
        <f t="shared" si="15"/>
        <v>0</v>
      </c>
      <c r="I496" s="5">
        <v>95.454549999999998</v>
      </c>
      <c r="J496" s="5">
        <v>157.45199</v>
      </c>
      <c r="K496" s="5">
        <v>142.23016999999999</v>
      </c>
      <c r="L496" s="5">
        <v>110.01128</v>
      </c>
      <c r="M496" s="5">
        <v>148.71404999999999</v>
      </c>
      <c r="N496">
        <v>81.828956824242056</v>
      </c>
    </row>
    <row r="497" spans="1:14" x14ac:dyDescent="0.2">
      <c r="A497" s="4">
        <v>45748</v>
      </c>
      <c r="B497" s="5">
        <v>53.921570000000003</v>
      </c>
      <c r="C497" s="11">
        <v>134.38560000000001</v>
      </c>
      <c r="D497">
        <v>4.3731861863385113</v>
      </c>
      <c r="E497">
        <f t="shared" si="14"/>
        <v>84.23212251863967</v>
      </c>
      <c r="F497" s="11">
        <v>137.70070000000001</v>
      </c>
      <c r="H497">
        <f t="shared" si="15"/>
        <v>0</v>
      </c>
      <c r="I497" s="5">
        <v>95.454549999999998</v>
      </c>
      <c r="J497" s="5">
        <v>157.70654999999999</v>
      </c>
      <c r="K497" s="5">
        <v>141.29714000000001</v>
      </c>
      <c r="L497" s="5">
        <v>102.43431</v>
      </c>
      <c r="M497" s="5">
        <v>149.07857000000001</v>
      </c>
      <c r="N497">
        <v>81.472685967338037</v>
      </c>
    </row>
    <row r="498" spans="1:14" x14ac:dyDescent="0.2">
      <c r="A498" s="4">
        <v>45778</v>
      </c>
      <c r="B498" s="5">
        <v>53.921570000000003</v>
      </c>
      <c r="C498" s="11">
        <v>134.64855</v>
      </c>
      <c r="D498">
        <v>4.4389561600963185</v>
      </c>
      <c r="E498">
        <f t="shared" si="14"/>
        <v>85.498920741162578</v>
      </c>
      <c r="F498" s="11">
        <v>137.79900000000001</v>
      </c>
      <c r="H498">
        <f t="shared" si="15"/>
        <v>0</v>
      </c>
      <c r="I498" s="5">
        <v>97.727270000000004</v>
      </c>
      <c r="J498" s="5">
        <v>157.86312000000001</v>
      </c>
      <c r="K498" s="5">
        <v>112.64838</v>
      </c>
      <c r="L498" s="5">
        <v>100.2257</v>
      </c>
      <c r="M498" s="5">
        <v>149.23045999999999</v>
      </c>
      <c r="N498">
        <v>81.231020758561115</v>
      </c>
    </row>
    <row r="499" spans="1:14" x14ac:dyDescent="0.2">
      <c r="A499" s="4">
        <v>45809</v>
      </c>
      <c r="B499" s="5">
        <v>53.921570000000003</v>
      </c>
      <c r="C499" s="11">
        <v>135.52760000000001</v>
      </c>
      <c r="D499">
        <v>4.4357741951967862</v>
      </c>
      <c r="E499">
        <f t="shared" si="14"/>
        <v>85.437632781801341</v>
      </c>
      <c r="F499" s="11">
        <v>137.89279999999999</v>
      </c>
      <c r="H499">
        <f t="shared" si="15"/>
        <v>0</v>
      </c>
      <c r="I499" s="5">
        <v>93.181820000000002</v>
      </c>
      <c r="J499" s="5">
        <v>158.26439999999999</v>
      </c>
      <c r="K499" s="5">
        <v>138.42904999999999</v>
      </c>
      <c r="L499" s="5">
        <v>109.89843999999999</v>
      </c>
      <c r="M499" s="5">
        <v>149.55448000000001</v>
      </c>
      <c r="N499">
        <v>81.029144001023383</v>
      </c>
    </row>
    <row r="500" spans="1:14" x14ac:dyDescent="0.2">
      <c r="A500" s="4">
        <v>45839</v>
      </c>
      <c r="B500" s="5">
        <v>53.921570000000003</v>
      </c>
      <c r="C500" s="11">
        <v>136.56965</v>
      </c>
      <c r="D500">
        <v>4.3139129467139314</v>
      </c>
      <c r="E500">
        <f t="shared" si="14"/>
        <v>83.090458164688513</v>
      </c>
      <c r="F500" s="11">
        <v>138.29659999999998</v>
      </c>
      <c r="H500">
        <f t="shared" si="15"/>
        <v>0</v>
      </c>
      <c r="I500" s="5">
        <v>97.727270000000004</v>
      </c>
      <c r="J500" s="5">
        <v>158.6258</v>
      </c>
      <c r="K500" s="5">
        <v>123.56952</v>
      </c>
      <c r="L500" s="5">
        <v>110.2531</v>
      </c>
      <c r="M500" s="5">
        <v>149.65573000000001</v>
      </c>
      <c r="N500">
        <v>81.356811348909233</v>
      </c>
    </row>
    <row r="501" spans="1:14" x14ac:dyDescent="0.2">
      <c r="A501" s="4">
        <v>45870</v>
      </c>
      <c r="B501" s="5">
        <v>54.901960000000003</v>
      </c>
      <c r="C501" s="11">
        <v>136.02545000000001</v>
      </c>
      <c r="D501">
        <v>4.0959149979756058</v>
      </c>
      <c r="E501">
        <f t="shared" si="14"/>
        <v>78.891590532594194</v>
      </c>
      <c r="F501" s="11">
        <v>138.6379</v>
      </c>
      <c r="H501">
        <f t="shared" si="15"/>
        <v>0</v>
      </c>
      <c r="I501" s="5">
        <v>97.727270000000004</v>
      </c>
      <c r="J501" s="5">
        <v>159.17823999999999</v>
      </c>
      <c r="K501" s="5">
        <v>127.52415999999999</v>
      </c>
      <c r="L501" s="5">
        <v>104.56231</v>
      </c>
      <c r="M501" s="5">
        <v>149.88862</v>
      </c>
      <c r="N501">
        <v>81.706646556508545</v>
      </c>
    </row>
    <row r="502" spans="1:14" x14ac:dyDescent="0.2">
      <c r="A502" s="4">
        <v>45901</v>
      </c>
      <c r="B502" s="5">
        <v>55.882350000000002</v>
      </c>
      <c r="C502" s="11">
        <v>137.40940000000001</v>
      </c>
      <c r="D502">
        <v>3.9265550367895528</v>
      </c>
      <c r="E502">
        <f t="shared" si="14"/>
        <v>75.629541218311587</v>
      </c>
      <c r="F502" s="11">
        <v>139.328</v>
      </c>
      <c r="H502">
        <f t="shared" si="15"/>
        <v>0</v>
      </c>
      <c r="I502" s="5">
        <v>100</v>
      </c>
      <c r="J502" s="5">
        <v>159.64796000000001</v>
      </c>
      <c r="K502" s="5">
        <v>89.366960000000006</v>
      </c>
      <c r="L502" s="5">
        <v>103.1114</v>
      </c>
      <c r="M502" s="5">
        <v>150.05063000000001</v>
      </c>
      <c r="N502">
        <v>81.519992051488174</v>
      </c>
    </row>
    <row r="503" spans="1:14" x14ac:dyDescent="0.2">
      <c r="A503" s="4">
        <v>45931</v>
      </c>
      <c r="B503" s="5">
        <v>55.882350000000002</v>
      </c>
      <c r="C503" s="11">
        <v>138.24170000000001</v>
      </c>
      <c r="D503">
        <v>3.8965590115263518</v>
      </c>
      <c r="E503">
        <f t="shared" si="14"/>
        <v>75.051786517874845</v>
      </c>
      <c r="F503" s="11">
        <v>139.51509999999999</v>
      </c>
      <c r="H503">
        <f t="shared" si="15"/>
        <v>0</v>
      </c>
      <c r="I503" s="5"/>
      <c r="J503" s="5"/>
      <c r="K503" s="5">
        <v>51.523690000000002</v>
      </c>
      <c r="L503" s="5">
        <v>98.162180000000006</v>
      </c>
      <c r="M503" s="5">
        <v>150.14176</v>
      </c>
      <c r="N503">
        <v>81.549788575633968</v>
      </c>
    </row>
    <row r="504" spans="1:14" x14ac:dyDescent="0.2">
      <c r="A504" s="4">
        <v>45962</v>
      </c>
      <c r="B504" s="5">
        <v>55.882350000000002</v>
      </c>
      <c r="C504" s="11">
        <v>138.42675</v>
      </c>
      <c r="D504">
        <v>3.8816992642930193</v>
      </c>
      <c r="E504">
        <f t="shared" si="14"/>
        <v>74.765572303290469</v>
      </c>
      <c r="F504" s="11">
        <v>139.4837</v>
      </c>
      <c r="H504">
        <f t="shared" si="15"/>
        <v>0</v>
      </c>
      <c r="I504" s="5">
        <v>102.27273</v>
      </c>
      <c r="J504" s="5">
        <v>160.05071000000001</v>
      </c>
      <c r="K504" s="5">
        <v>51.523690000000002</v>
      </c>
      <c r="L504" s="5">
        <v>96.824119999999994</v>
      </c>
      <c r="M504" s="5">
        <v>150.27339000000001</v>
      </c>
      <c r="N504">
        <v>81.649919951617747</v>
      </c>
    </row>
    <row r="505" spans="1:14" x14ac:dyDescent="0.2">
      <c r="A505" s="4">
        <v>45992</v>
      </c>
      <c r="B505" s="5">
        <v>55.882350000000002</v>
      </c>
      <c r="C505" s="11">
        <v>138.4075</v>
      </c>
      <c r="D505">
        <v>3.6686071678992147</v>
      </c>
      <c r="E505">
        <f t="shared" si="14"/>
        <v>70.66119649892417</v>
      </c>
      <c r="F505" s="11">
        <v>139.4742</v>
      </c>
      <c r="H505">
        <f t="shared" si="15"/>
        <v>0</v>
      </c>
      <c r="I505" s="5">
        <v>100</v>
      </c>
      <c r="J505" s="5">
        <v>160.52733000000001</v>
      </c>
      <c r="K505" s="5">
        <v>114.79199</v>
      </c>
      <c r="L505" s="5">
        <v>93.45478</v>
      </c>
      <c r="M505" s="5">
        <v>150.59741</v>
      </c>
    </row>
    <row r="506" spans="1:14" x14ac:dyDescent="0.2">
      <c r="B506" s="5"/>
      <c r="L506" s="5"/>
      <c r="M506" s="5"/>
    </row>
    <row r="507" spans="1:14" x14ac:dyDescent="0.2">
      <c r="B507" s="5"/>
      <c r="L507" s="5"/>
      <c r="M507" s="5"/>
    </row>
    <row r="508" spans="1:14" x14ac:dyDescent="0.2">
      <c r="B508" s="5"/>
      <c r="L508" s="5"/>
      <c r="M508" s="5"/>
    </row>
    <row r="509" spans="1:14" x14ac:dyDescent="0.2">
      <c r="B509" s="5"/>
      <c r="L509" s="5"/>
    </row>
    <row r="510" spans="1:14" x14ac:dyDescent="0.2">
      <c r="B510" s="5"/>
      <c r="L510" s="5"/>
    </row>
    <row r="511" spans="1:14" x14ac:dyDescent="0.2">
      <c r="B511" s="5"/>
      <c r="L511" s="5"/>
    </row>
    <row r="512" spans="1:14" x14ac:dyDescent="0.2">
      <c r="B512" s="5"/>
    </row>
    <row r="513" spans="2:2" x14ac:dyDescent="0.2">
      <c r="B513" s="5"/>
    </row>
    <row r="514" spans="2:2" x14ac:dyDescent="0.2">
      <c r="B514" s="5"/>
    </row>
    <row r="515" spans="2:2" x14ac:dyDescent="0.2">
      <c r="B515" s="5"/>
    </row>
    <row r="516" spans="2:2" x14ac:dyDescent="0.2">
      <c r="B516" s="5"/>
    </row>
    <row r="517" spans="2:2" x14ac:dyDescent="0.2">
      <c r="B517" s="5"/>
    </row>
    <row r="518" spans="2:2" x14ac:dyDescent="0.2">
      <c r="B518" s="5"/>
    </row>
    <row r="519" spans="2:2" x14ac:dyDescent="0.2">
      <c r="B519" s="5"/>
    </row>
    <row r="520" spans="2:2" x14ac:dyDescent="0.2">
      <c r="B520" s="5"/>
    </row>
    <row r="521" spans="2:2" x14ac:dyDescent="0.2">
      <c r="B521" s="5"/>
    </row>
    <row r="522" spans="2:2" x14ac:dyDescent="0.2">
      <c r="B522" s="5"/>
    </row>
    <row r="523" spans="2:2" x14ac:dyDescent="0.2">
      <c r="B523" s="5"/>
    </row>
    <row r="524" spans="2:2" x14ac:dyDescent="0.2">
      <c r="B524" s="5"/>
    </row>
    <row r="525" spans="2:2" x14ac:dyDescent="0.2">
      <c r="B525" s="5"/>
    </row>
    <row r="526" spans="2:2" x14ac:dyDescent="0.2">
      <c r="B526" s="5"/>
    </row>
    <row r="527" spans="2:2" x14ac:dyDescent="0.2">
      <c r="B527" s="5"/>
    </row>
    <row r="528" spans="2:2" x14ac:dyDescent="0.2">
      <c r="B528" s="5"/>
    </row>
    <row r="529" spans="2:2" x14ac:dyDescent="0.2">
      <c r="B529" s="5"/>
    </row>
    <row r="530" spans="2:2" x14ac:dyDescent="0.2">
      <c r="B530" s="5"/>
    </row>
    <row r="531" spans="2:2" x14ac:dyDescent="0.2">
      <c r="B531" s="5"/>
    </row>
    <row r="532" spans="2:2" x14ac:dyDescent="0.2">
      <c r="B532" s="5"/>
    </row>
    <row r="533" spans="2:2" x14ac:dyDescent="0.2">
      <c r="B533" s="5"/>
    </row>
    <row r="534" spans="2:2" x14ac:dyDescent="0.2">
      <c r="B534" s="5"/>
    </row>
    <row r="535" spans="2:2" x14ac:dyDescent="0.2">
      <c r="B535" s="5"/>
    </row>
    <row r="536" spans="2:2" x14ac:dyDescent="0.2">
      <c r="B536" s="5"/>
    </row>
    <row r="537" spans="2:2" x14ac:dyDescent="0.2">
      <c r="B537" s="5"/>
    </row>
    <row r="538" spans="2:2" x14ac:dyDescent="0.2">
      <c r="B538" s="5"/>
    </row>
    <row r="539" spans="2:2" x14ac:dyDescent="0.2">
      <c r="B539" s="5"/>
    </row>
    <row r="540" spans="2:2" x14ac:dyDescent="0.2">
      <c r="B5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0853-C1B3-B945-B9F8-29D15AEB7BB6}">
  <dimension ref="A1:L169"/>
  <sheetViews>
    <sheetView topLeftCell="A77" workbookViewId="0">
      <selection activeCell="L90" sqref="L90:L169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12</v>
      </c>
      <c r="C1" s="1" t="s">
        <v>15</v>
      </c>
      <c r="D1" s="1" t="s">
        <v>10</v>
      </c>
      <c r="E1" s="1" t="s">
        <v>17</v>
      </c>
      <c r="F1" s="1" t="s">
        <v>21</v>
      </c>
      <c r="G1" s="1" t="s">
        <v>25</v>
      </c>
      <c r="H1" s="1" t="s">
        <v>26</v>
      </c>
      <c r="I1" s="1" t="s">
        <v>27</v>
      </c>
      <c r="J1" s="1" t="s">
        <v>36</v>
      </c>
      <c r="K1" s="1" t="s">
        <v>42</v>
      </c>
      <c r="L1" s="1" t="s">
        <v>44</v>
      </c>
    </row>
    <row r="2" spans="1:12" x14ac:dyDescent="0.2">
      <c r="A2" s="4">
        <v>30682</v>
      </c>
      <c r="B2" cm="1">
        <f t="array" ref="B2:B169">_xlfn.BYROW(_xlfn.WRAPROWS('Prem-Monthly-Data'!$B$2:$B$505, 3), _xlfn.LAMBDA(_xlpm.row, AVERAGE(_xlpm.row)))</f>
        <v>209.15032666666664</v>
      </c>
      <c r="C2" cm="1">
        <f t="array" ref="C2:C169">_xlfn.BYROW(_xlfn.WRAPROWS('Prem-Monthly-Data'!$C$2:$C$505, 3), _xlfn.LAMBDA(_xlpm.row, AVERAGE(_xlpm.row)))</f>
        <v>59.020333333333333</v>
      </c>
      <c r="D2" cm="1">
        <f t="array" ref="D2:D169">_xlfn.BYROW(_xlfn.WRAPROWS('Prem-Monthly-Data'!$E$2:$E$505, 3), _xlfn.LAMBDA(_xlpm.row, AVERAGE(_xlpm.row)))</f>
        <v>185.76226816529436</v>
      </c>
      <c r="E2" cm="1">
        <f t="array" ref="E2:E169">_xlfn.BYROW(_xlfn.WRAPROWS('Prem-Monthly-Data'!$F$2:$F$505, 3), _xlfn.LAMBDA(_xlpm.row, AVERAGE(_xlpm.row)))</f>
        <v>62.954333333333331</v>
      </c>
      <c r="F2" cm="1">
        <f t="array" ref="F2:F169">_xlfn.BYROW(_xlfn.WRAPROWS('Prem-Monthly-Data'!$H$2:$H$505, 3), _xlfn.LAMBDA(_xlpm.row, AVERAGE(_xlpm.row)))</f>
        <v>0</v>
      </c>
      <c r="G2" cm="1">
        <f t="array" ref="G2:G169">_xlfn.BYROW(_xlfn.WRAPROWS('Prem-Monthly-Data'!$I$2:$I$505, 3), _xlfn.LAMBDA(_xlpm.row, AVERAGE(_xlpm.row)))</f>
        <v>178.78788</v>
      </c>
      <c r="H2" cm="1">
        <f t="array" ref="H2:H169">_xlfn.BYROW(_xlfn.WRAPROWS('Prem-Monthly-Data'!$J$2:$J$505, 3), _xlfn.LAMBDA(_xlpm.row, AVERAGE(_xlpm.row)))</f>
        <v>50.484163333333335</v>
      </c>
      <c r="I2" cm="1">
        <f t="array" ref="I2:I169">_xlfn.BYROW(_xlfn.WRAPROWS('Prem-Monthly-Data'!$K$2:$K$505, 3), _xlfn.LAMBDA(_xlpm.row, AVERAGE(_xlpm.row)))</f>
        <v>163.98049333333333</v>
      </c>
      <c r="J2" cm="1">
        <f t="array" ref="J2:J169">_xlfn.BYROW(_xlfn.WRAPROWS('Prem-Monthly-Data'!$L$2:$L$505, 3), _xlfn.LAMBDA(_xlpm.row, AVERAGE(_xlpm.row)))</f>
        <v>48.683969999999995</v>
      </c>
      <c r="K2" cm="1">
        <f t="array" ref="K2:K169">_xlfn.BYROW(_xlfn.WRAPROWS('Prem-Monthly-Data'!$M$2:$M$505, 3), _xlfn.LAMBDA(_xlpm.row, AVERAGE(_xlpm.row)))</f>
        <v>50.249763333333334</v>
      </c>
      <c r="L2" cm="1">
        <f t="array" ref="L2:L169">_xlfn.BYROW(_xlfn.WRAPROWS('Prem-Monthly-Data'!$N$2:$N$505, 3), _xlfn.LAMBDA(_xlpm.row, AVERAGE(_xlpm.row)))</f>
        <v>59.089578344536001</v>
      </c>
    </row>
    <row r="3" spans="1:12" x14ac:dyDescent="0.2">
      <c r="A3" s="4">
        <v>30773</v>
      </c>
      <c r="B3">
        <v>202.61437666666666</v>
      </c>
      <c r="C3">
        <v>59.227499999999999</v>
      </c>
      <c r="D3">
        <v>205.24209805012268</v>
      </c>
      <c r="E3">
        <v>63.298000000000002</v>
      </c>
      <c r="F3">
        <v>0</v>
      </c>
      <c r="G3">
        <v>168.93939333333333</v>
      </c>
      <c r="H3">
        <v>50.960116666666671</v>
      </c>
      <c r="I3">
        <v>151.79506000000001</v>
      </c>
      <c r="J3">
        <v>48.957493333333332</v>
      </c>
      <c r="K3">
        <v>51.039556666666662</v>
      </c>
      <c r="L3">
        <v>60.01176916207222</v>
      </c>
    </row>
    <row r="4" spans="1:12" x14ac:dyDescent="0.2">
      <c r="A4" s="4">
        <v>30864</v>
      </c>
      <c r="B4">
        <v>200</v>
      </c>
      <c r="C4">
        <v>59.327333333333335</v>
      </c>
      <c r="D4">
        <v>228.90846878113476</v>
      </c>
      <c r="E4">
        <v>63.734666666666669</v>
      </c>
      <c r="F4">
        <v>0</v>
      </c>
      <c r="G4">
        <v>168.93939666666668</v>
      </c>
      <c r="H4">
        <v>51.403250000000007</v>
      </c>
      <c r="I4">
        <v>169.72609666666668</v>
      </c>
      <c r="J4">
        <v>46.91977</v>
      </c>
      <c r="K4">
        <v>51.69097</v>
      </c>
      <c r="L4">
        <v>60.263372288116955</v>
      </c>
    </row>
    <row r="5" spans="1:12" x14ac:dyDescent="0.2">
      <c r="A5" s="4">
        <v>30956</v>
      </c>
      <c r="B5">
        <v>199.67320333333336</v>
      </c>
      <c r="C5">
        <v>59.462333333333333</v>
      </c>
      <c r="D5">
        <v>191.33623729245417</v>
      </c>
      <c r="E5">
        <v>63.411000000000001</v>
      </c>
      <c r="F5">
        <v>0</v>
      </c>
      <c r="G5">
        <v>165.90908999999999</v>
      </c>
      <c r="H5">
        <v>51.846380000000003</v>
      </c>
      <c r="I5">
        <v>117.71184666666666</v>
      </c>
      <c r="J5">
        <v>44.221613333333345</v>
      </c>
      <c r="K5">
        <v>52.312000000000005</v>
      </c>
      <c r="L5">
        <v>60.675636945305172</v>
      </c>
    </row>
    <row r="6" spans="1:12" x14ac:dyDescent="0.2">
      <c r="A6" s="4">
        <v>31048</v>
      </c>
      <c r="B6">
        <v>212.74510000000001</v>
      </c>
      <c r="C6">
        <v>59.469666666666662</v>
      </c>
      <c r="D6">
        <v>170.04812518834251</v>
      </c>
      <c r="E6">
        <v>63.346000000000004</v>
      </c>
      <c r="F6">
        <v>0</v>
      </c>
      <c r="G6">
        <v>164.39393666666663</v>
      </c>
      <c r="H6">
        <v>52.322336666666672</v>
      </c>
      <c r="I6">
        <v>163.79147</v>
      </c>
      <c r="J6">
        <v>43.607930000000003</v>
      </c>
      <c r="K6">
        <v>52.852033333333331</v>
      </c>
      <c r="L6">
        <v>60.89689513451421</v>
      </c>
    </row>
    <row r="7" spans="1:12" x14ac:dyDescent="0.2">
      <c r="A7" s="4">
        <v>31138</v>
      </c>
      <c r="B7">
        <v>221.56863000000001</v>
      </c>
      <c r="C7">
        <v>60.026666666666664</v>
      </c>
      <c r="D7">
        <v>161.63948414348212</v>
      </c>
      <c r="E7">
        <v>63.643666666666668</v>
      </c>
      <c r="F7">
        <v>0</v>
      </c>
      <c r="G7">
        <v>165.90908999999999</v>
      </c>
      <c r="H7">
        <v>52.798293333333334</v>
      </c>
      <c r="I7">
        <v>155.78621999999999</v>
      </c>
      <c r="J7">
        <v>44.90891666666667</v>
      </c>
      <c r="K7">
        <v>53.365059999999993</v>
      </c>
      <c r="L7">
        <v>60.919839863837446</v>
      </c>
    </row>
    <row r="8" spans="1:12" x14ac:dyDescent="0.2">
      <c r="A8" s="4">
        <v>31229</v>
      </c>
      <c r="B8">
        <v>212.74510000000001</v>
      </c>
      <c r="C8">
        <v>60.151166666666661</v>
      </c>
      <c r="D8">
        <v>149.33599805353745</v>
      </c>
      <c r="E8">
        <v>63.518333333333338</v>
      </c>
      <c r="F8">
        <v>0</v>
      </c>
      <c r="G8">
        <v>163.63636666666665</v>
      </c>
      <c r="H8">
        <v>53.126536666666674</v>
      </c>
      <c r="I8">
        <v>114.23674999999999</v>
      </c>
      <c r="J8">
        <v>44.80251333333333</v>
      </c>
      <c r="K8">
        <v>53.871336666666672</v>
      </c>
      <c r="L8">
        <v>60.638403977901227</v>
      </c>
    </row>
    <row r="9" spans="1:12" x14ac:dyDescent="0.2">
      <c r="A9" s="4">
        <v>31321</v>
      </c>
      <c r="B9">
        <v>203.26797333333334</v>
      </c>
      <c r="C9">
        <v>60.204833333333333</v>
      </c>
      <c r="D9">
        <v>148.42203192684408</v>
      </c>
      <c r="E9">
        <v>63.426333333333332</v>
      </c>
      <c r="F9">
        <v>0</v>
      </c>
      <c r="G9">
        <v>159.84848666666667</v>
      </c>
      <c r="H9">
        <v>53.66814333333334</v>
      </c>
      <c r="I9">
        <v>146.00206666666665</v>
      </c>
      <c r="J9">
        <v>47.062710000000003</v>
      </c>
      <c r="K9">
        <v>54.391116666666669</v>
      </c>
      <c r="L9">
        <v>61.100812120391453</v>
      </c>
    </row>
    <row r="10" spans="1:12" x14ac:dyDescent="0.2">
      <c r="A10" s="4">
        <v>31413</v>
      </c>
      <c r="B10">
        <v>197.38562000000002</v>
      </c>
      <c r="C10">
        <v>61.472000000000001</v>
      </c>
      <c r="D10">
        <v>143.8540391004303</v>
      </c>
      <c r="E10">
        <v>63.497000000000007</v>
      </c>
      <c r="F10">
        <v>0</v>
      </c>
      <c r="G10">
        <v>159.84848333333332</v>
      </c>
      <c r="H10">
        <v>53.947153333333326</v>
      </c>
      <c r="I10">
        <v>146.51910999999998</v>
      </c>
      <c r="J10">
        <v>27.408783333333332</v>
      </c>
      <c r="K10">
        <v>54.823140000000002</v>
      </c>
      <c r="L10">
        <v>62.409857412925341</v>
      </c>
    </row>
    <row r="11" spans="1:12" x14ac:dyDescent="0.2">
      <c r="A11" s="4">
        <v>31503</v>
      </c>
      <c r="B11">
        <v>190.84967333333336</v>
      </c>
      <c r="C11">
        <v>61.74933333333334</v>
      </c>
      <c r="D11">
        <v>140.84549830161333</v>
      </c>
      <c r="E11">
        <v>62.972333333333331</v>
      </c>
      <c r="F11">
        <v>0</v>
      </c>
      <c r="G11">
        <v>162.87878666666666</v>
      </c>
      <c r="H11">
        <v>53.684553333333334</v>
      </c>
      <c r="I11">
        <v>119.93784666666666</v>
      </c>
      <c r="J11">
        <v>22.440756666666669</v>
      </c>
      <c r="K11">
        <v>55.19441333333333</v>
      </c>
      <c r="L11">
        <v>63.379546152410427</v>
      </c>
    </row>
    <row r="12" spans="1:12" x14ac:dyDescent="0.2">
      <c r="A12" s="4">
        <v>31594</v>
      </c>
      <c r="B12">
        <v>179.08496666666667</v>
      </c>
      <c r="C12">
        <v>60.790833333333332</v>
      </c>
      <c r="D12">
        <v>132.41585810541719</v>
      </c>
      <c r="E12">
        <v>63.289666666666669</v>
      </c>
      <c r="F12">
        <v>0</v>
      </c>
      <c r="G12">
        <v>158.33333333333334</v>
      </c>
      <c r="H12">
        <v>54.012800000000006</v>
      </c>
      <c r="I12">
        <v>138.24643666666668</v>
      </c>
      <c r="J12">
        <v>22.344026666666664</v>
      </c>
      <c r="K12">
        <v>55.673690000000001</v>
      </c>
      <c r="L12">
        <v>64.505281338087272</v>
      </c>
    </row>
    <row r="13" spans="1:12" x14ac:dyDescent="0.2">
      <c r="A13" s="4">
        <v>31686</v>
      </c>
      <c r="B13">
        <v>174.18300333333335</v>
      </c>
      <c r="C13">
        <v>60.447166666666668</v>
      </c>
      <c r="D13">
        <v>119.7235581340927</v>
      </c>
      <c r="E13">
        <v>63.577666666666666</v>
      </c>
      <c r="F13">
        <v>0</v>
      </c>
      <c r="G13">
        <v>155.30303000000001</v>
      </c>
      <c r="H13">
        <v>54.390286666666668</v>
      </c>
      <c r="I13">
        <v>155.36713666666665</v>
      </c>
      <c r="J13">
        <v>24.791766666666664</v>
      </c>
      <c r="K13">
        <v>56.210343333333334</v>
      </c>
      <c r="L13">
        <v>65.097088404588249</v>
      </c>
    </row>
    <row r="14" spans="1:12" x14ac:dyDescent="0.2">
      <c r="A14" s="4">
        <v>31778</v>
      </c>
      <c r="B14">
        <v>173.52941000000001</v>
      </c>
      <c r="C14">
        <v>60.812999999999995</v>
      </c>
      <c r="D14">
        <v>116.30270830204172</v>
      </c>
      <c r="E14">
        <v>63.838999999999999</v>
      </c>
      <c r="F14">
        <v>0</v>
      </c>
      <c r="G14">
        <v>150</v>
      </c>
      <c r="H14">
        <v>55.046773333333334</v>
      </c>
      <c r="I14">
        <v>152.81389333333334</v>
      </c>
      <c r="J14">
        <v>29.387393333333335</v>
      </c>
      <c r="K14">
        <v>56.763869999999997</v>
      </c>
      <c r="L14">
        <v>66.25311477300481</v>
      </c>
    </row>
    <row r="15" spans="1:12" x14ac:dyDescent="0.2">
      <c r="A15" s="4">
        <v>31868</v>
      </c>
      <c r="B15">
        <v>167.64706000000001</v>
      </c>
      <c r="C15">
        <v>61.420999999999999</v>
      </c>
      <c r="D15">
        <v>135.05538341902366</v>
      </c>
      <c r="E15">
        <v>64.273333333333326</v>
      </c>
      <c r="F15">
        <v>0</v>
      </c>
      <c r="G15">
        <v>142.42424333333332</v>
      </c>
      <c r="H15">
        <v>55.670443333333338</v>
      </c>
      <c r="I15">
        <v>148.07774333333333</v>
      </c>
      <c r="J15">
        <v>31.217153333333332</v>
      </c>
      <c r="K15">
        <v>57.415279999999996</v>
      </c>
      <c r="L15">
        <v>67.134919325608038</v>
      </c>
    </row>
    <row r="16" spans="1:12" x14ac:dyDescent="0.2">
      <c r="A16" s="4">
        <v>31959</v>
      </c>
      <c r="B16">
        <v>159.47712666666669</v>
      </c>
      <c r="C16">
        <v>61.897333333333336</v>
      </c>
      <c r="D16">
        <v>134.07600036759777</v>
      </c>
      <c r="E16">
        <v>65.085333333333324</v>
      </c>
      <c r="F16">
        <v>0</v>
      </c>
      <c r="G16">
        <v>136.36363666666668</v>
      </c>
      <c r="H16">
        <v>56.261283333333331</v>
      </c>
      <c r="I16">
        <v>155.66814666666667</v>
      </c>
      <c r="J16">
        <v>32.86313333333333</v>
      </c>
      <c r="K16">
        <v>58.026193333333339</v>
      </c>
      <c r="L16">
        <v>68.008428882780962</v>
      </c>
    </row>
    <row r="17" spans="1:12" x14ac:dyDescent="0.2">
      <c r="A17" s="4">
        <v>32051</v>
      </c>
      <c r="B17">
        <v>158.16993666666667</v>
      </c>
      <c r="C17">
        <v>62.824333333333335</v>
      </c>
      <c r="D17">
        <v>135.68138220213442</v>
      </c>
      <c r="E17">
        <v>65.400333333333336</v>
      </c>
      <c r="F17">
        <v>0</v>
      </c>
      <c r="G17">
        <v>132.57575666666665</v>
      </c>
      <c r="H17">
        <v>56.786473333333333</v>
      </c>
      <c r="I17">
        <v>121.69224666666666</v>
      </c>
      <c r="J17">
        <v>30.097803333333331</v>
      </c>
      <c r="K17">
        <v>58.707979999999999</v>
      </c>
      <c r="L17">
        <v>69.098249008746407</v>
      </c>
    </row>
    <row r="18" spans="1:12" x14ac:dyDescent="0.2">
      <c r="A18" s="4">
        <v>32143</v>
      </c>
      <c r="B18">
        <v>156.53594999999999</v>
      </c>
      <c r="C18">
        <v>62.672500000000007</v>
      </c>
      <c r="D18">
        <v>125.16521292264405</v>
      </c>
      <c r="E18">
        <v>65.507666666666665</v>
      </c>
      <c r="F18">
        <v>-32.361348207260157</v>
      </c>
      <c r="G18">
        <v>129.54544999999999</v>
      </c>
      <c r="H18">
        <v>57.229610000000001</v>
      </c>
      <c r="I18">
        <v>130.20760666666666</v>
      </c>
      <c r="J18">
        <v>26.945023333333335</v>
      </c>
      <c r="K18">
        <v>59.352640000000001</v>
      </c>
      <c r="L18">
        <v>69.873925341792173</v>
      </c>
    </row>
    <row r="19" spans="1:12" x14ac:dyDescent="0.2">
      <c r="A19" s="4">
        <v>32234</v>
      </c>
      <c r="B19">
        <v>148.36601333333331</v>
      </c>
      <c r="C19">
        <v>62.901499999999999</v>
      </c>
      <c r="D19">
        <v>132.13066380264189</v>
      </c>
      <c r="E19">
        <v>66.018333333333331</v>
      </c>
      <c r="F19">
        <v>-352.44336269383984</v>
      </c>
      <c r="G19">
        <v>124.24242333333332</v>
      </c>
      <c r="H19">
        <v>57.886096666666667</v>
      </c>
      <c r="I19">
        <v>156.83859666666663</v>
      </c>
      <c r="J19">
        <v>27.859099999999998</v>
      </c>
      <c r="K19">
        <v>60.054676666666673</v>
      </c>
      <c r="L19">
        <v>71.353035608627337</v>
      </c>
    </row>
    <row r="20" spans="1:12" x14ac:dyDescent="0.2">
      <c r="A20" s="4">
        <v>32325</v>
      </c>
      <c r="B20">
        <v>142.48365999999999</v>
      </c>
      <c r="C20">
        <v>63.413833333333336</v>
      </c>
      <c r="D20">
        <v>147.95027180717528</v>
      </c>
      <c r="E20">
        <v>66.725333333333339</v>
      </c>
      <c r="F20">
        <v>-336.17903287013036</v>
      </c>
      <c r="G20">
        <v>124.24242333333332</v>
      </c>
      <c r="H20">
        <v>58.59182666666667</v>
      </c>
      <c r="I20">
        <v>181.65890333333334</v>
      </c>
      <c r="J20">
        <v>24.444623333333336</v>
      </c>
      <c r="K20">
        <v>60.655463333333337</v>
      </c>
      <c r="L20">
        <v>72.168241454704827</v>
      </c>
    </row>
    <row r="21" spans="1:12" x14ac:dyDescent="0.2">
      <c r="A21" s="4">
        <v>32417</v>
      </c>
      <c r="B21">
        <v>141.17646999999999</v>
      </c>
      <c r="C21">
        <v>64.097499999999997</v>
      </c>
      <c r="D21">
        <v>159.77164947069707</v>
      </c>
      <c r="E21">
        <v>67.011333333333326</v>
      </c>
      <c r="F21">
        <v>-189.36429366245048</v>
      </c>
      <c r="G21">
        <v>121.21212333333334</v>
      </c>
      <c r="H21">
        <v>59.231906666666667</v>
      </c>
      <c r="I21">
        <v>136.72393</v>
      </c>
      <c r="J21">
        <v>23.666509999999999</v>
      </c>
      <c r="K21">
        <v>61.310246666666664</v>
      </c>
      <c r="L21">
        <v>72.884393689701326</v>
      </c>
    </row>
    <row r="22" spans="1:12" x14ac:dyDescent="0.2">
      <c r="A22" s="4">
        <v>32509</v>
      </c>
      <c r="B22">
        <v>141.17646999999999</v>
      </c>
      <c r="C22">
        <v>65.106666666666669</v>
      </c>
      <c r="D22">
        <v>182.83286902683992</v>
      </c>
      <c r="E22">
        <v>67.715000000000003</v>
      </c>
      <c r="F22">
        <v>-224.29225839939761</v>
      </c>
      <c r="G22">
        <v>118.18181666666665</v>
      </c>
      <c r="H22">
        <v>59.904809999999998</v>
      </c>
      <c r="I22">
        <v>182.53842</v>
      </c>
      <c r="J22">
        <v>29.692083333333333</v>
      </c>
      <c r="K22">
        <v>61.958283333333334</v>
      </c>
      <c r="L22">
        <v>73.085757888628265</v>
      </c>
    </row>
    <row r="23" spans="1:12" x14ac:dyDescent="0.2">
      <c r="A23" s="4">
        <v>32599</v>
      </c>
      <c r="B23">
        <v>142.48365999999999</v>
      </c>
      <c r="C23">
        <v>65.906166666666678</v>
      </c>
      <c r="D23">
        <v>178.75606070265692</v>
      </c>
      <c r="E23">
        <v>68.499000000000009</v>
      </c>
      <c r="F23">
        <v>64.877067295327564</v>
      </c>
      <c r="G23">
        <v>118.93939666666667</v>
      </c>
      <c r="H23">
        <v>60.873133333333335</v>
      </c>
      <c r="I23">
        <v>172.71243333333334</v>
      </c>
      <c r="J23">
        <v>32.821213333333333</v>
      </c>
      <c r="K23">
        <v>62.451063333333337</v>
      </c>
      <c r="L23">
        <v>73.699882357402132</v>
      </c>
    </row>
    <row r="24" spans="1:12" x14ac:dyDescent="0.2">
      <c r="A24" s="4">
        <v>32690</v>
      </c>
      <c r="B24">
        <v>145.75163333333333</v>
      </c>
      <c r="C24">
        <v>66.435833333333335</v>
      </c>
      <c r="D24">
        <v>158.9230117526815</v>
      </c>
      <c r="E24">
        <v>67.909666666666666</v>
      </c>
      <c r="F24">
        <v>87.277706836220318</v>
      </c>
      <c r="G24">
        <v>118.93939666666667</v>
      </c>
      <c r="H24">
        <v>61.349086666666665</v>
      </c>
      <c r="I24">
        <v>148.50864666666666</v>
      </c>
      <c r="J24">
        <v>31.038746666666668</v>
      </c>
      <c r="K24">
        <v>62.818953333333333</v>
      </c>
      <c r="L24">
        <v>73.5886250232154</v>
      </c>
    </row>
    <row r="25" spans="1:12" x14ac:dyDescent="0.2">
      <c r="A25" s="4">
        <v>32782</v>
      </c>
      <c r="B25">
        <v>143.13725333333332</v>
      </c>
      <c r="C25">
        <v>66.656833333333338</v>
      </c>
      <c r="D25">
        <v>154.23079842453751</v>
      </c>
      <c r="E25">
        <v>68.653666666666666</v>
      </c>
      <c r="F25">
        <v>-76.556049342726482</v>
      </c>
      <c r="G25">
        <v>121.96969666666666</v>
      </c>
      <c r="H25">
        <v>61.972756666666669</v>
      </c>
      <c r="I25">
        <v>160.23493666666667</v>
      </c>
      <c r="J25">
        <v>32.779299999999999</v>
      </c>
      <c r="K25">
        <v>63.220603333333337</v>
      </c>
      <c r="L25">
        <v>73.714292984139874</v>
      </c>
    </row>
    <row r="26" spans="1:12" x14ac:dyDescent="0.2">
      <c r="A26" s="4">
        <v>32874</v>
      </c>
      <c r="B26">
        <v>139.86928333333333</v>
      </c>
      <c r="C26">
        <v>68.391333333333336</v>
      </c>
      <c r="D26">
        <v>160.7876255532602</v>
      </c>
      <c r="E26">
        <v>69.918333333333337</v>
      </c>
      <c r="F26">
        <v>-5.1149596859789428</v>
      </c>
      <c r="G26">
        <v>120.45454666666667</v>
      </c>
      <c r="H26">
        <v>63.039553333333338</v>
      </c>
      <c r="I26">
        <v>188.93162333333336</v>
      </c>
      <c r="J26">
        <v>35.019076666666663</v>
      </c>
      <c r="K26">
        <v>63.774133333333339</v>
      </c>
      <c r="L26">
        <v>75.656360019511013</v>
      </c>
    </row>
    <row r="27" spans="1:12" x14ac:dyDescent="0.2">
      <c r="A27" s="4">
        <v>32964</v>
      </c>
      <c r="B27">
        <v>138.56208999999998</v>
      </c>
      <c r="C27">
        <v>68.980999999999995</v>
      </c>
      <c r="D27">
        <v>163.23024220788258</v>
      </c>
      <c r="E27">
        <v>70.370999999999995</v>
      </c>
      <c r="F27">
        <v>10.70762454006867</v>
      </c>
      <c r="G27">
        <v>121.21212000000001</v>
      </c>
      <c r="H27">
        <v>63.663220000000003</v>
      </c>
      <c r="I27">
        <v>182.33489333333333</v>
      </c>
      <c r="J27">
        <v>28.85163</v>
      </c>
      <c r="K27">
        <v>64.206160000000011</v>
      </c>
      <c r="L27">
        <v>75.583003308512502</v>
      </c>
    </row>
    <row r="28" spans="1:12" x14ac:dyDescent="0.2">
      <c r="A28" s="4">
        <v>33055</v>
      </c>
      <c r="B28">
        <v>139.54248333333331</v>
      </c>
      <c r="C28">
        <v>68.529666666666671</v>
      </c>
      <c r="D28">
        <v>143.36486848683347</v>
      </c>
      <c r="E28">
        <v>71.45</v>
      </c>
      <c r="F28">
        <v>-5.44001920287986</v>
      </c>
      <c r="G28">
        <v>129.54545333333331</v>
      </c>
      <c r="H28">
        <v>64.762843333333336</v>
      </c>
      <c r="I28">
        <v>168.59004666666667</v>
      </c>
      <c r="J28">
        <v>42.720723333333332</v>
      </c>
      <c r="K28">
        <v>64.371543333333349</v>
      </c>
      <c r="L28">
        <v>75.732269769396524</v>
      </c>
    </row>
    <row r="29" spans="1:12" x14ac:dyDescent="0.2">
      <c r="A29" s="4">
        <v>33147</v>
      </c>
      <c r="B29">
        <v>145.75163333333333</v>
      </c>
      <c r="C29">
        <v>69.191000000000003</v>
      </c>
      <c r="D29">
        <v>133.84026546197737</v>
      </c>
      <c r="E29">
        <v>72.951999999999998</v>
      </c>
      <c r="F29">
        <v>41.964048118890666</v>
      </c>
      <c r="G29">
        <v>139.39394000000001</v>
      </c>
      <c r="H29">
        <v>65.862463333333338</v>
      </c>
      <c r="I29">
        <v>161.71891333333335</v>
      </c>
      <c r="J29">
        <v>51.350960000000008</v>
      </c>
      <c r="K29">
        <v>64.358036666666649</v>
      </c>
      <c r="L29">
        <v>75.328788401409199</v>
      </c>
    </row>
    <row r="30" spans="1:12" x14ac:dyDescent="0.2">
      <c r="A30" s="4">
        <v>33239</v>
      </c>
      <c r="B30">
        <v>152.94117666666668</v>
      </c>
      <c r="C30">
        <v>69.756166666666658</v>
      </c>
      <c r="D30">
        <v>120.33121220245005</v>
      </c>
      <c r="E30">
        <v>72.194666666666663</v>
      </c>
      <c r="F30">
        <v>310.23039408876065</v>
      </c>
      <c r="G30">
        <v>150</v>
      </c>
      <c r="H30">
        <v>66.354836666666671</v>
      </c>
      <c r="I30">
        <v>165.99843666666666</v>
      </c>
      <c r="J30">
        <v>35.113116666666663</v>
      </c>
      <c r="K30">
        <v>64.243279999999999</v>
      </c>
      <c r="L30">
        <v>74.86025090050812</v>
      </c>
    </row>
    <row r="31" spans="1:12" x14ac:dyDescent="0.2">
      <c r="A31" s="4">
        <v>33329</v>
      </c>
      <c r="B31">
        <v>156.86275000000001</v>
      </c>
      <c r="C31">
        <v>70.362833333333342</v>
      </c>
      <c r="D31">
        <v>113.03367933071047</v>
      </c>
      <c r="E31">
        <v>72.691666666666663</v>
      </c>
      <c r="F31">
        <v>162.49030139745378</v>
      </c>
      <c r="G31">
        <v>155.30303000000001</v>
      </c>
      <c r="H31">
        <v>66.748730000000009</v>
      </c>
      <c r="I31">
        <v>131.38900333333333</v>
      </c>
      <c r="J31">
        <v>33.455856666666669</v>
      </c>
      <c r="K31">
        <v>64.152153333333345</v>
      </c>
      <c r="L31">
        <v>74.853544445682886</v>
      </c>
    </row>
    <row r="32" spans="1:12" x14ac:dyDescent="0.2">
      <c r="A32" s="4">
        <v>33420</v>
      </c>
      <c r="B32">
        <v>156.20914999999999</v>
      </c>
      <c r="C32">
        <v>71.154333333333327</v>
      </c>
      <c r="D32">
        <v>101.85278336350741</v>
      </c>
      <c r="E32">
        <v>72.788333333333341</v>
      </c>
      <c r="F32">
        <v>45.862492928732657</v>
      </c>
      <c r="G32">
        <v>156.06060333333335</v>
      </c>
      <c r="H32">
        <v>67.257509999999982</v>
      </c>
      <c r="I32">
        <v>141.83409666666668</v>
      </c>
      <c r="J32">
        <v>34.910529999999994</v>
      </c>
      <c r="K32">
        <v>64.34453666666667</v>
      </c>
      <c r="L32">
        <v>74.682227025165744</v>
      </c>
    </row>
    <row r="33" spans="1:12" x14ac:dyDescent="0.2">
      <c r="A33" s="4">
        <v>33512</v>
      </c>
      <c r="B33">
        <v>161.76470666666668</v>
      </c>
      <c r="C33">
        <v>72.282499999999999</v>
      </c>
      <c r="D33">
        <v>76.475531348457949</v>
      </c>
      <c r="E33">
        <v>73.388666666666666</v>
      </c>
      <c r="F33">
        <v>374.74528657994802</v>
      </c>
      <c r="G33">
        <v>161.36363666666668</v>
      </c>
      <c r="H33">
        <v>67.815526666666656</v>
      </c>
      <c r="I33">
        <v>113.40996666666666</v>
      </c>
      <c r="J33">
        <v>35.042186666666659</v>
      </c>
      <c r="K33">
        <v>64.530176666666662</v>
      </c>
      <c r="L33">
        <v>74.854058054210682</v>
      </c>
    </row>
    <row r="34" spans="1:12" x14ac:dyDescent="0.2">
      <c r="A34" s="4">
        <v>33604</v>
      </c>
      <c r="B34">
        <v>167.32026333333334</v>
      </c>
      <c r="C34">
        <v>72.484333333333325</v>
      </c>
      <c r="D34">
        <v>71.961732453484345</v>
      </c>
      <c r="E34">
        <v>73.153999999999996</v>
      </c>
      <c r="F34">
        <v>-8.2490819319966118</v>
      </c>
      <c r="G34">
        <v>167.42424333333335</v>
      </c>
      <c r="H34">
        <v>68.275069999999999</v>
      </c>
      <c r="I34">
        <v>99.168559999999999</v>
      </c>
      <c r="J34">
        <v>30.485786666666666</v>
      </c>
      <c r="K34">
        <v>64.725936666666669</v>
      </c>
      <c r="L34">
        <v>75.921723007375874</v>
      </c>
    </row>
    <row r="35" spans="1:12" x14ac:dyDescent="0.2">
      <c r="A35" s="4">
        <v>33695</v>
      </c>
      <c r="B35">
        <v>164.70588000000001</v>
      </c>
      <c r="C35">
        <v>72.818666666666658</v>
      </c>
      <c r="D35">
        <v>67.139432945533784</v>
      </c>
      <c r="E35">
        <v>73.698333333333338</v>
      </c>
      <c r="F35">
        <v>232.72680007276631</v>
      </c>
      <c r="G35">
        <v>172.72727333333333</v>
      </c>
      <c r="H35">
        <v>68.800263333333319</v>
      </c>
      <c r="I35">
        <v>116.42343666666666</v>
      </c>
      <c r="J35">
        <v>34.15444333333334</v>
      </c>
      <c r="K35">
        <v>65.056699999999992</v>
      </c>
      <c r="L35">
        <v>77.022636389933538</v>
      </c>
    </row>
    <row r="36" spans="1:12" x14ac:dyDescent="0.2">
      <c r="A36" s="4">
        <v>33786</v>
      </c>
      <c r="B36">
        <v>161.76470666666668</v>
      </c>
      <c r="C36">
        <v>73.888666666666666</v>
      </c>
      <c r="D36">
        <v>43.607628511357383</v>
      </c>
      <c r="E36">
        <v>74.159000000000006</v>
      </c>
      <c r="F36">
        <v>-57.674691088860243</v>
      </c>
      <c r="G36">
        <v>173.48484666666664</v>
      </c>
      <c r="H36">
        <v>69.325456666666653</v>
      </c>
      <c r="I36">
        <v>70.449923333333331</v>
      </c>
      <c r="J36">
        <v>34.935246666666664</v>
      </c>
      <c r="K36">
        <v>65.451599999999999</v>
      </c>
      <c r="L36">
        <v>77.705059423829184</v>
      </c>
    </row>
    <row r="37" spans="1:12" x14ac:dyDescent="0.2">
      <c r="A37" s="4">
        <v>33878</v>
      </c>
      <c r="B37">
        <v>161.11111000000002</v>
      </c>
      <c r="C37">
        <v>74.369666666666674</v>
      </c>
      <c r="D37">
        <v>53.073731648892114</v>
      </c>
      <c r="E37">
        <v>74.376999999999995</v>
      </c>
      <c r="F37">
        <v>-39.425198151705978</v>
      </c>
      <c r="G37">
        <v>167.42424333333335</v>
      </c>
      <c r="H37">
        <v>69.93271</v>
      </c>
      <c r="I37">
        <v>109.30888333333333</v>
      </c>
      <c r="J37">
        <v>33.014670000000002</v>
      </c>
      <c r="K37">
        <v>65.951129999999992</v>
      </c>
      <c r="L37">
        <v>78.07361178800376</v>
      </c>
    </row>
    <row r="38" spans="1:12" x14ac:dyDescent="0.2">
      <c r="A38" s="4">
        <v>33970</v>
      </c>
      <c r="B38">
        <v>166.99346333333332</v>
      </c>
      <c r="C38">
        <v>74.380499999999998</v>
      </c>
      <c r="D38">
        <v>50.009102511914705</v>
      </c>
      <c r="E38">
        <v>74.243333333333339</v>
      </c>
      <c r="F38">
        <v>-21.034555944503186</v>
      </c>
      <c r="G38">
        <v>162.12121333333334</v>
      </c>
      <c r="H38">
        <v>70.441490000000002</v>
      </c>
      <c r="I38">
        <v>90.99515000000001</v>
      </c>
      <c r="J38">
        <v>31.960343333333338</v>
      </c>
      <c r="K38">
        <v>66.548533333333339</v>
      </c>
      <c r="L38">
        <v>78.401171767890176</v>
      </c>
    </row>
    <row r="39" spans="1:12" x14ac:dyDescent="0.2">
      <c r="A39" s="4">
        <v>34060</v>
      </c>
      <c r="B39">
        <v>169.60784000000001</v>
      </c>
      <c r="C39">
        <v>74.812499999999986</v>
      </c>
      <c r="D39">
        <v>49.717900700210912</v>
      </c>
      <c r="E39">
        <v>74.72</v>
      </c>
      <c r="F39">
        <v>12.09393049926708</v>
      </c>
      <c r="G39">
        <v>160.60606333333334</v>
      </c>
      <c r="H39">
        <v>70.950270000000003</v>
      </c>
      <c r="I39">
        <v>117.65956</v>
      </c>
      <c r="J39">
        <v>31.855556666666669</v>
      </c>
      <c r="K39">
        <v>67.078440000000001</v>
      </c>
      <c r="L39">
        <v>78.882266768842257</v>
      </c>
    </row>
    <row r="40" spans="1:12" x14ac:dyDescent="0.2">
      <c r="A40" s="4">
        <v>34151</v>
      </c>
      <c r="B40">
        <v>167.64706000000001</v>
      </c>
      <c r="C40">
        <v>75.215833333333322</v>
      </c>
      <c r="D40">
        <v>55.29607961019633</v>
      </c>
      <c r="E40">
        <v>74.676666666666662</v>
      </c>
      <c r="F40">
        <v>-16.353743634967728</v>
      </c>
      <c r="G40">
        <v>154.54545333333331</v>
      </c>
      <c r="H40">
        <v>71.278516666666675</v>
      </c>
      <c r="I40">
        <v>80.128060000000005</v>
      </c>
      <c r="J40">
        <v>28.689883333333331</v>
      </c>
      <c r="K40">
        <v>67.729846666666674</v>
      </c>
      <c r="L40">
        <v>79.025478246808689</v>
      </c>
    </row>
    <row r="41" spans="1:12" x14ac:dyDescent="0.2">
      <c r="A41" s="4">
        <v>34243</v>
      </c>
      <c r="B41">
        <v>162.41830000000002</v>
      </c>
      <c r="C41">
        <v>75.870333333333335</v>
      </c>
      <c r="D41">
        <v>58.937588887629012</v>
      </c>
      <c r="E41">
        <v>74.603999999999999</v>
      </c>
      <c r="F41">
        <v>-19.374154193871409</v>
      </c>
      <c r="G41">
        <v>150.75757333333331</v>
      </c>
      <c r="H41">
        <v>71.869356666666661</v>
      </c>
      <c r="I41">
        <v>124.17799666666667</v>
      </c>
      <c r="J41">
        <v>26.521573333333333</v>
      </c>
      <c r="K41">
        <v>68.384636666666665</v>
      </c>
      <c r="L41">
        <v>80.01007113274288</v>
      </c>
    </row>
    <row r="42" spans="1:12" x14ac:dyDescent="0.2">
      <c r="A42" s="4">
        <v>34335</v>
      </c>
      <c r="B42">
        <v>152.61438000000001</v>
      </c>
      <c r="C42">
        <v>76.264499999999998</v>
      </c>
      <c r="D42">
        <v>63.984122677503592</v>
      </c>
      <c r="E42">
        <v>74.861666666666679</v>
      </c>
      <c r="F42">
        <v>-147.77461002403942</v>
      </c>
      <c r="G42">
        <v>149.24242333333333</v>
      </c>
      <c r="H42">
        <v>72.230429999999998</v>
      </c>
      <c r="I42">
        <v>103.85834666666666</v>
      </c>
      <c r="J42">
        <v>23.88092</v>
      </c>
      <c r="K42">
        <v>69.100176666666655</v>
      </c>
      <c r="L42">
        <v>80.765204765068873</v>
      </c>
    </row>
    <row r="43" spans="1:12" x14ac:dyDescent="0.2">
      <c r="A43" s="4">
        <v>34425</v>
      </c>
      <c r="B43">
        <v>142.48366000000001</v>
      </c>
      <c r="C43">
        <v>76.992166666666677</v>
      </c>
      <c r="D43">
        <v>92.879015851579098</v>
      </c>
      <c r="E43">
        <v>75.686000000000007</v>
      </c>
      <c r="F43">
        <v>-67.355884517862862</v>
      </c>
      <c r="G43">
        <v>140.90908999999999</v>
      </c>
      <c r="H43">
        <v>72.64073333333333</v>
      </c>
      <c r="I43">
        <v>101.64678666666664</v>
      </c>
      <c r="J43">
        <v>28.658176666666666</v>
      </c>
      <c r="K43">
        <v>69.964223333333337</v>
      </c>
      <c r="L43">
        <v>81.34463952557293</v>
      </c>
    </row>
    <row r="44" spans="1:12" x14ac:dyDescent="0.2">
      <c r="A44" s="4">
        <v>34516</v>
      </c>
      <c r="B44">
        <v>138.88888999999998</v>
      </c>
      <c r="C44">
        <v>77.589333333333343</v>
      </c>
      <c r="D44">
        <v>101.1891673397169</v>
      </c>
      <c r="E44">
        <v>76.202333333333328</v>
      </c>
      <c r="F44">
        <v>-48.647570463885707</v>
      </c>
      <c r="G44">
        <v>136.36363666666668</v>
      </c>
      <c r="H44">
        <v>73.313640000000007</v>
      </c>
      <c r="I44">
        <v>114.16976666666666</v>
      </c>
      <c r="J44">
        <v>29.818903333333335</v>
      </c>
      <c r="K44">
        <v>70.797893333333334</v>
      </c>
      <c r="L44">
        <v>82.363804821046571</v>
      </c>
    </row>
    <row r="45" spans="1:12" x14ac:dyDescent="0.2">
      <c r="A45" s="4">
        <v>34608</v>
      </c>
      <c r="B45">
        <v>135.62091666666666</v>
      </c>
      <c r="C45">
        <v>78.303333333333342</v>
      </c>
      <c r="D45">
        <v>123.16981768422379</v>
      </c>
      <c r="E45">
        <v>75.783333333333346</v>
      </c>
      <c r="F45">
        <v>-67.99866813319251</v>
      </c>
      <c r="G45">
        <v>128.03030333333334</v>
      </c>
      <c r="H45">
        <v>73.740356666666671</v>
      </c>
      <c r="I45">
        <v>95.742219999999989</v>
      </c>
      <c r="J45">
        <v>28.46472</v>
      </c>
      <c r="K45">
        <v>71.628190000000004</v>
      </c>
      <c r="L45">
        <v>83.237658285464249</v>
      </c>
    </row>
    <row r="46" spans="1:12" x14ac:dyDescent="0.2">
      <c r="A46" s="4">
        <v>34700</v>
      </c>
      <c r="B46">
        <v>132.67973666666666</v>
      </c>
      <c r="C46">
        <v>79.876333333333335</v>
      </c>
      <c r="D46">
        <v>129.63025234759209</v>
      </c>
      <c r="E46">
        <v>76.257999999999996</v>
      </c>
      <c r="F46">
        <v>-125.3184957664884</v>
      </c>
      <c r="G46">
        <v>124.24242333333332</v>
      </c>
      <c r="H46">
        <v>74.281966666666662</v>
      </c>
      <c r="I46">
        <v>131.94173999999998</v>
      </c>
      <c r="J46">
        <v>29.593206666666664</v>
      </c>
      <c r="K46">
        <v>72.404483333333332</v>
      </c>
      <c r="L46">
        <v>83.676521512064383</v>
      </c>
    </row>
    <row r="47" spans="1:12" x14ac:dyDescent="0.2">
      <c r="A47" s="4">
        <v>34790</v>
      </c>
      <c r="B47">
        <v>134.31372666666667</v>
      </c>
      <c r="C47">
        <v>80.264166666666668</v>
      </c>
      <c r="D47">
        <v>109.3848274115288</v>
      </c>
      <c r="E47">
        <v>76.923666666666676</v>
      </c>
      <c r="F47">
        <v>-2.9330482743706057</v>
      </c>
      <c r="G47">
        <v>128.78788</v>
      </c>
      <c r="H47">
        <v>74.889220000000009</v>
      </c>
      <c r="I47">
        <v>113.95279333333333</v>
      </c>
      <c r="J47">
        <v>31.183836666666668</v>
      </c>
      <c r="K47">
        <v>72.887133333333324</v>
      </c>
      <c r="L47">
        <v>83.879861357479172</v>
      </c>
    </row>
    <row r="48" spans="1:12" x14ac:dyDescent="0.2">
      <c r="A48" s="4">
        <v>34881</v>
      </c>
      <c r="B48">
        <v>136.27450999999999</v>
      </c>
      <c r="C48">
        <v>81.010499999999993</v>
      </c>
      <c r="D48">
        <v>104.28017863083919</v>
      </c>
      <c r="E48">
        <v>77.401333333333341</v>
      </c>
      <c r="F48">
        <v>134.28440562999779</v>
      </c>
      <c r="G48">
        <v>128.78787666666665</v>
      </c>
      <c r="H48">
        <v>75.2667</v>
      </c>
      <c r="I48">
        <v>112.98378000000001</v>
      </c>
      <c r="J48">
        <v>28.781773333333334</v>
      </c>
      <c r="K48">
        <v>73.406913333333335</v>
      </c>
      <c r="L48">
        <v>84.782454722793901</v>
      </c>
    </row>
    <row r="49" spans="1:12" x14ac:dyDescent="0.2">
      <c r="A49" s="4">
        <v>34973</v>
      </c>
      <c r="B49">
        <v>133.98693</v>
      </c>
      <c r="C49">
        <v>81.911000000000001</v>
      </c>
      <c r="D49">
        <v>100.90713952648009</v>
      </c>
      <c r="E49">
        <v>77.740333333333339</v>
      </c>
      <c r="F49">
        <v>-21.190996238467516</v>
      </c>
      <c r="G49">
        <v>126.51515333333333</v>
      </c>
      <c r="H49">
        <v>75.677006666666671</v>
      </c>
      <c r="I49">
        <v>103.65973666666666</v>
      </c>
      <c r="J49">
        <v>29.270786666666666</v>
      </c>
      <c r="K49">
        <v>73.997569999999996</v>
      </c>
      <c r="L49">
        <v>85.602164710199631</v>
      </c>
    </row>
    <row r="50" spans="1:12" x14ac:dyDescent="0.2">
      <c r="A50" s="4">
        <v>35065</v>
      </c>
      <c r="B50">
        <v>131.69934666666666</v>
      </c>
      <c r="C50">
        <v>82.55</v>
      </c>
      <c r="D50">
        <v>91.116141578685884</v>
      </c>
      <c r="E50">
        <v>78.548333333333332</v>
      </c>
      <c r="F50">
        <v>-7.9583119154379034</v>
      </c>
      <c r="G50">
        <v>125.75757666666668</v>
      </c>
      <c r="H50">
        <v>76.349910000000008</v>
      </c>
      <c r="I50">
        <v>116.24938666666667</v>
      </c>
      <c r="J50">
        <v>31.871676666666662</v>
      </c>
      <c r="K50">
        <v>74.547726666666662</v>
      </c>
      <c r="L50">
        <v>87.251830584904198</v>
      </c>
    </row>
    <row r="51" spans="1:12" x14ac:dyDescent="0.2">
      <c r="A51" s="4">
        <v>35156</v>
      </c>
      <c r="B51">
        <v>138.88888999999998</v>
      </c>
      <c r="C51">
        <v>84.221833333333336</v>
      </c>
      <c r="D51">
        <v>108.49862119984739</v>
      </c>
      <c r="E51">
        <v>79.528999999999996</v>
      </c>
      <c r="F51">
        <v>-30.036794047877567</v>
      </c>
      <c r="G51">
        <v>125.00000333333332</v>
      </c>
      <c r="H51">
        <v>77.006399999999999</v>
      </c>
      <c r="I51">
        <v>104.96138666666667</v>
      </c>
      <c r="J51">
        <v>35.07442666666666</v>
      </c>
      <c r="K51">
        <v>75.236263333333341</v>
      </c>
      <c r="L51">
        <v>87.782899367392858</v>
      </c>
    </row>
    <row r="52" spans="1:12" x14ac:dyDescent="0.2">
      <c r="A52" s="4">
        <v>35247</v>
      </c>
      <c r="B52">
        <v>135.62091666666666</v>
      </c>
      <c r="C52">
        <v>85.03</v>
      </c>
      <c r="D52">
        <v>110.02262270281022</v>
      </c>
      <c r="E52">
        <v>79.724666666666664</v>
      </c>
      <c r="F52">
        <v>110.38413343915323</v>
      </c>
      <c r="G52">
        <v>119.69697000000001</v>
      </c>
      <c r="H52">
        <v>77.449533333333335</v>
      </c>
      <c r="I52">
        <v>105.76549333333334</v>
      </c>
      <c r="J52">
        <v>36.14917333333333</v>
      </c>
      <c r="K52">
        <v>76.009180000000001</v>
      </c>
      <c r="L52">
        <v>89.291843262916586</v>
      </c>
    </row>
    <row r="53" spans="1:12" x14ac:dyDescent="0.2">
      <c r="A53" s="4">
        <v>35339</v>
      </c>
      <c r="B53">
        <v>120.91503</v>
      </c>
      <c r="C53">
        <v>86.620833333333337</v>
      </c>
      <c r="D53">
        <v>103.64428617374953</v>
      </c>
      <c r="E53">
        <v>80.73233333333333</v>
      </c>
      <c r="F53">
        <v>2.4740706279813764</v>
      </c>
      <c r="G53">
        <v>121.21211999999998</v>
      </c>
      <c r="H53">
        <v>78.122436666666673</v>
      </c>
      <c r="I53">
        <v>104.91788333333334</v>
      </c>
      <c r="J53">
        <v>39.765706666666667</v>
      </c>
      <c r="K53">
        <v>76.65721666666667</v>
      </c>
      <c r="L53">
        <v>89.04010440415955</v>
      </c>
    </row>
    <row r="54" spans="1:12" x14ac:dyDescent="0.2">
      <c r="A54" s="4">
        <v>35431</v>
      </c>
      <c r="B54">
        <v>123.85620666666667</v>
      </c>
      <c r="C54">
        <v>86.504166666666663</v>
      </c>
      <c r="D54">
        <v>106.33866226097763</v>
      </c>
      <c r="E54">
        <v>81.091000000000008</v>
      </c>
      <c r="F54">
        <v>-116.88123155733403</v>
      </c>
      <c r="G54">
        <v>118.93939666666667</v>
      </c>
      <c r="H54">
        <v>78.598393333333334</v>
      </c>
      <c r="I54">
        <v>101.78170333333333</v>
      </c>
      <c r="J54">
        <v>36.740289999999995</v>
      </c>
      <c r="K54">
        <v>77.389633333333336</v>
      </c>
      <c r="L54">
        <v>89.549015188787635</v>
      </c>
    </row>
    <row r="55" spans="1:12" x14ac:dyDescent="0.2">
      <c r="A55" s="4">
        <v>35521</v>
      </c>
      <c r="B55">
        <v>134.96731999999997</v>
      </c>
      <c r="C55">
        <v>86.644999999999996</v>
      </c>
      <c r="D55">
        <v>112.13453308895198</v>
      </c>
      <c r="E55">
        <v>80.97966666666666</v>
      </c>
      <c r="F55">
        <v>68.788787628785926</v>
      </c>
      <c r="G55">
        <v>113.63636333333334</v>
      </c>
      <c r="H55">
        <v>78.778926666666663</v>
      </c>
      <c r="I55">
        <v>99.330103333333341</v>
      </c>
      <c r="J55">
        <v>32.091999999999999</v>
      </c>
      <c r="K55">
        <v>78.236800000000002</v>
      </c>
      <c r="L55">
        <v>90.705134313009225</v>
      </c>
    </row>
    <row r="56" spans="1:12" x14ac:dyDescent="0.2">
      <c r="A56" s="4">
        <v>35612</v>
      </c>
      <c r="B56">
        <v>133.98692666666665</v>
      </c>
      <c r="C56">
        <v>86.863833333333332</v>
      </c>
      <c r="D56">
        <v>106.95182642422191</v>
      </c>
      <c r="E56">
        <v>81.00766666666668</v>
      </c>
      <c r="F56">
        <v>-32.474615382457706</v>
      </c>
      <c r="G56">
        <v>110.60606333333332</v>
      </c>
      <c r="H56">
        <v>79.172820000000002</v>
      </c>
      <c r="I56">
        <v>84.066220000000001</v>
      </c>
      <c r="J56">
        <v>31.893169999999998</v>
      </c>
      <c r="K56">
        <v>78.982716666666661</v>
      </c>
      <c r="L56">
        <v>91.613775565334151</v>
      </c>
    </row>
    <row r="57" spans="1:12" x14ac:dyDescent="0.2">
      <c r="A57" s="4">
        <v>35704</v>
      </c>
      <c r="B57">
        <v>134.64052333333333</v>
      </c>
      <c r="C57">
        <v>87.055833333333339</v>
      </c>
      <c r="D57">
        <v>107.02703963851356</v>
      </c>
      <c r="E57">
        <v>81.465666666666664</v>
      </c>
      <c r="F57">
        <v>24.261687956007119</v>
      </c>
      <c r="G57">
        <v>106.06060333333333</v>
      </c>
      <c r="H57">
        <v>79.599540000000005</v>
      </c>
      <c r="I57">
        <v>100.99795666666667</v>
      </c>
      <c r="J57">
        <v>32.108119999999992</v>
      </c>
      <c r="K57">
        <v>79.867016666666657</v>
      </c>
      <c r="L57">
        <v>91.97128628976759</v>
      </c>
    </row>
    <row r="58" spans="1:12" x14ac:dyDescent="0.2">
      <c r="A58" s="4">
        <v>35796</v>
      </c>
      <c r="B58">
        <v>135.62091666666666</v>
      </c>
      <c r="C58">
        <v>87.459500000000006</v>
      </c>
      <c r="D58">
        <v>105.14397827850678</v>
      </c>
      <c r="E58">
        <v>81.484333333333339</v>
      </c>
      <c r="F58">
        <v>-48.110695572433734</v>
      </c>
      <c r="G58">
        <v>105.30302666666667</v>
      </c>
      <c r="H58">
        <v>79.763660000000002</v>
      </c>
      <c r="I58">
        <v>94.604376666666667</v>
      </c>
      <c r="J58">
        <v>25.681123333333332</v>
      </c>
      <c r="K58">
        <v>80.653436666666664</v>
      </c>
      <c r="L58">
        <v>92.788402282771003</v>
      </c>
    </row>
    <row r="59" spans="1:12" x14ac:dyDescent="0.2">
      <c r="A59" s="4">
        <v>35886</v>
      </c>
      <c r="B59">
        <v>130.7189533333333</v>
      </c>
      <c r="C59">
        <v>87.581833333333336</v>
      </c>
      <c r="D59">
        <v>109.19630757096714</v>
      </c>
      <c r="E59">
        <v>81.141999999999996</v>
      </c>
      <c r="F59">
        <v>9.9530859764949966</v>
      </c>
      <c r="G59">
        <v>100</v>
      </c>
      <c r="H59">
        <v>80.026259999999994</v>
      </c>
      <c r="I59">
        <v>103.17790666666667</v>
      </c>
      <c r="J59">
        <v>23.62297666666667</v>
      </c>
      <c r="K59">
        <v>81.490479999999991</v>
      </c>
      <c r="L59">
        <v>92.633813870340347</v>
      </c>
    </row>
    <row r="60" spans="1:12" x14ac:dyDescent="0.2">
      <c r="A60" s="4">
        <v>35977</v>
      </c>
      <c r="B60">
        <v>129.08496333333332</v>
      </c>
      <c r="C60">
        <v>87.244166666666658</v>
      </c>
      <c r="D60">
        <v>102.88406282385046</v>
      </c>
      <c r="E60">
        <v>81.012666666666675</v>
      </c>
      <c r="F60">
        <v>-67.478419121591244</v>
      </c>
      <c r="G60">
        <v>103.03030333333334</v>
      </c>
      <c r="H60">
        <v>80.436570000000003</v>
      </c>
      <c r="I60">
        <v>119.27624333333334</v>
      </c>
      <c r="J60">
        <v>22.779300000000003</v>
      </c>
      <c r="K60">
        <v>82.18577333333333</v>
      </c>
      <c r="L60">
        <v>92.496238453063867</v>
      </c>
    </row>
    <row r="61" spans="1:12" x14ac:dyDescent="0.2">
      <c r="A61" s="4">
        <v>36069</v>
      </c>
      <c r="B61">
        <v>126.47059</v>
      </c>
      <c r="C61">
        <v>87.894833333333338</v>
      </c>
      <c r="D61">
        <v>92.452780962952829</v>
      </c>
      <c r="E61">
        <v>81.096000000000004</v>
      </c>
      <c r="F61">
        <v>361.45500137484788</v>
      </c>
      <c r="G61">
        <v>100.75757666666668</v>
      </c>
      <c r="H61">
        <v>80.814050000000009</v>
      </c>
      <c r="I61">
        <v>92.014616666666669</v>
      </c>
      <c r="J61">
        <v>20.699660000000002</v>
      </c>
      <c r="K61">
        <v>82.962063333333333</v>
      </c>
      <c r="L61">
        <v>90.640532816939199</v>
      </c>
    </row>
    <row r="62" spans="1:12" x14ac:dyDescent="0.2">
      <c r="A62" s="4">
        <v>36161</v>
      </c>
      <c r="B62">
        <v>120.58823666666666</v>
      </c>
      <c r="C62">
        <v>88.407500000000013</v>
      </c>
      <c r="D62">
        <v>101.11339282434022</v>
      </c>
      <c r="E62">
        <v>80.99433333333333</v>
      </c>
      <c r="F62">
        <v>7.3909287699616799</v>
      </c>
      <c r="G62">
        <v>97.727273333333343</v>
      </c>
      <c r="H62">
        <v>81.109470000000002</v>
      </c>
      <c r="I62">
        <v>62.766656666666655</v>
      </c>
      <c r="J62">
        <v>21.032836666666665</v>
      </c>
      <c r="K62">
        <v>83.76873333333333</v>
      </c>
      <c r="L62">
        <v>94.406718070609486</v>
      </c>
    </row>
    <row r="63" spans="1:12" x14ac:dyDescent="0.2">
      <c r="A63" s="4">
        <v>36251</v>
      </c>
      <c r="B63">
        <v>111.43790666666666</v>
      </c>
      <c r="C63">
        <v>88.648666666666671</v>
      </c>
      <c r="D63">
        <v>103.41477157521375</v>
      </c>
      <c r="E63">
        <v>81.524000000000001</v>
      </c>
      <c r="F63">
        <v>-30.516038137750588</v>
      </c>
      <c r="G63">
        <v>96.969696666666664</v>
      </c>
      <c r="H63">
        <v>81.716726666666659</v>
      </c>
      <c r="I63">
        <v>68.169966666666667</v>
      </c>
      <c r="J63">
        <v>28.470096666666667</v>
      </c>
      <c r="K63">
        <v>84.561899999999994</v>
      </c>
      <c r="L63">
        <v>95.414384719519617</v>
      </c>
    </row>
    <row r="64" spans="1:12" x14ac:dyDescent="0.2">
      <c r="A64" s="4">
        <v>36342</v>
      </c>
      <c r="B64">
        <v>111.76470666666665</v>
      </c>
      <c r="C64">
        <v>89.06</v>
      </c>
      <c r="D64">
        <v>112.82725661947966</v>
      </c>
      <c r="E64">
        <v>82.060999999999993</v>
      </c>
      <c r="F64">
        <v>-8.8889283919766076</v>
      </c>
      <c r="G64">
        <v>96.212123333333338</v>
      </c>
      <c r="H64">
        <v>82.323976666666667</v>
      </c>
      <c r="I64">
        <v>88.494209999999995</v>
      </c>
      <c r="J64">
        <v>35.042183333333334</v>
      </c>
      <c r="K64">
        <v>85.324693333333329</v>
      </c>
      <c r="L64">
        <v>95.958576793092405</v>
      </c>
    </row>
    <row r="65" spans="1:12" x14ac:dyDescent="0.2">
      <c r="A65" s="4">
        <v>36434</v>
      </c>
      <c r="B65">
        <v>115.03267666666666</v>
      </c>
      <c r="C65">
        <v>88.731666666666669</v>
      </c>
      <c r="D65">
        <v>114.93061442541143</v>
      </c>
      <c r="E65">
        <v>82.338000000000008</v>
      </c>
      <c r="F65">
        <v>-274.61000276220346</v>
      </c>
      <c r="G65">
        <v>92.424243333333337</v>
      </c>
      <c r="H65">
        <v>82.931233333333338</v>
      </c>
      <c r="I65">
        <v>79.295833333333334</v>
      </c>
      <c r="J65">
        <v>39.599119999999999</v>
      </c>
      <c r="K65">
        <v>86.168486666666652</v>
      </c>
      <c r="L65">
        <v>95.070379283011945</v>
      </c>
    </row>
    <row r="66" spans="1:12" x14ac:dyDescent="0.2">
      <c r="A66" s="4">
        <v>36526</v>
      </c>
      <c r="B66">
        <v>106.20915000000001</v>
      </c>
      <c r="C66">
        <v>88.488166666666686</v>
      </c>
      <c r="D66">
        <v>131.01834905561896</v>
      </c>
      <c r="E66">
        <v>83.096333333333334</v>
      </c>
      <c r="F66">
        <v>-20.311430785952691</v>
      </c>
      <c r="G66">
        <v>91.666666666666671</v>
      </c>
      <c r="H66">
        <v>83.751846666666665</v>
      </c>
      <c r="I66">
        <v>122.96204666666667</v>
      </c>
      <c r="J66">
        <v>46.439893333333337</v>
      </c>
      <c r="K66">
        <v>86.971783333333335</v>
      </c>
      <c r="L66">
        <v>95.144389955845028</v>
      </c>
    </row>
    <row r="67" spans="1:12" x14ac:dyDescent="0.2">
      <c r="A67" s="4">
        <v>36617</v>
      </c>
      <c r="B67">
        <v>99.346406666666667</v>
      </c>
      <c r="C67">
        <v>88.017999999999986</v>
      </c>
      <c r="D67">
        <v>142.36894788823122</v>
      </c>
      <c r="E67">
        <v>83.932000000000002</v>
      </c>
      <c r="F67">
        <v>-56.03855148550182</v>
      </c>
      <c r="G67">
        <v>89.393940000000001</v>
      </c>
      <c r="H67">
        <v>84.408336666666671</v>
      </c>
      <c r="I67">
        <v>101.17811</v>
      </c>
      <c r="J67">
        <v>46.402276666666666</v>
      </c>
      <c r="K67">
        <v>87.829083333333315</v>
      </c>
      <c r="L67">
        <v>95.264513698106285</v>
      </c>
    </row>
    <row r="68" spans="1:12" x14ac:dyDescent="0.2">
      <c r="A68" s="4">
        <v>36708</v>
      </c>
      <c r="B68">
        <v>96.078429999999983</v>
      </c>
      <c r="C68">
        <v>88.340833333333322</v>
      </c>
      <c r="D68">
        <v>135.00909104907916</v>
      </c>
      <c r="E68">
        <v>84.75</v>
      </c>
      <c r="F68">
        <v>-30.596230415307136</v>
      </c>
      <c r="G68">
        <v>90.909089999999992</v>
      </c>
      <c r="H68">
        <v>85.179713333333325</v>
      </c>
      <c r="I68">
        <v>114.72681666666666</v>
      </c>
      <c r="J68">
        <v>50.980709999999995</v>
      </c>
      <c r="K68">
        <v>88.369113333333345</v>
      </c>
      <c r="L68">
        <v>96.701215466188685</v>
      </c>
    </row>
    <row r="69" spans="1:12" x14ac:dyDescent="0.2">
      <c r="A69" s="4">
        <v>36800</v>
      </c>
      <c r="B69">
        <v>96.405230000000003</v>
      </c>
      <c r="C69">
        <v>89.753</v>
      </c>
      <c r="D69">
        <v>121.74134422788455</v>
      </c>
      <c r="E69">
        <v>85.197666666666677</v>
      </c>
      <c r="F69">
        <v>-127.3318207568866</v>
      </c>
      <c r="G69">
        <v>88.63636000000001</v>
      </c>
      <c r="H69">
        <v>85.786969999999997</v>
      </c>
      <c r="I69">
        <v>105.78072000000002</v>
      </c>
      <c r="J69">
        <v>51.555700000000002</v>
      </c>
      <c r="K69">
        <v>88.899016666666668</v>
      </c>
      <c r="L69">
        <v>96.359139452271123</v>
      </c>
    </row>
    <row r="70" spans="1:12" x14ac:dyDescent="0.2">
      <c r="A70" s="4">
        <v>36892</v>
      </c>
      <c r="B70">
        <v>105.55555333333332</v>
      </c>
      <c r="C70">
        <v>90.030166666666673</v>
      </c>
      <c r="D70">
        <v>90.59822737758941</v>
      </c>
      <c r="E70">
        <v>85.042666666666676</v>
      </c>
      <c r="F70">
        <v>251.25289138563699</v>
      </c>
      <c r="G70">
        <v>96.212123333333338</v>
      </c>
      <c r="H70">
        <v>86.607583333333324</v>
      </c>
      <c r="I70">
        <v>121.14283999999999</v>
      </c>
      <c r="J70">
        <v>46.445270000000001</v>
      </c>
      <c r="K70">
        <v>89.233156666666673</v>
      </c>
      <c r="L70">
        <v>96.001051978799566</v>
      </c>
    </row>
    <row r="71" spans="1:12" x14ac:dyDescent="0.2">
      <c r="A71" s="4">
        <v>36982</v>
      </c>
      <c r="B71">
        <v>110.78431333333333</v>
      </c>
      <c r="C71">
        <v>89.346833333333336</v>
      </c>
      <c r="D71">
        <v>73.010435539856886</v>
      </c>
      <c r="E71">
        <v>85.348666666666659</v>
      </c>
      <c r="F71">
        <v>419.65855202778386</v>
      </c>
      <c r="G71">
        <v>100</v>
      </c>
      <c r="H71">
        <v>87.214839999999995</v>
      </c>
      <c r="I71">
        <v>124.34875333333332</v>
      </c>
      <c r="J71">
        <v>44.951369999999997</v>
      </c>
      <c r="K71">
        <v>89.395166666666668</v>
      </c>
      <c r="L71">
        <v>95.395590774220565</v>
      </c>
    </row>
    <row r="72" spans="1:12" x14ac:dyDescent="0.2">
      <c r="A72" s="4">
        <v>37073</v>
      </c>
      <c r="B72">
        <v>114.70587999999999</v>
      </c>
      <c r="C72">
        <v>90.398166666666668</v>
      </c>
      <c r="D72">
        <v>61.357686185831277</v>
      </c>
      <c r="E72">
        <v>84.518666666666661</v>
      </c>
      <c r="F72">
        <v>35.61528726112509</v>
      </c>
      <c r="G72">
        <v>109.84848333333332</v>
      </c>
      <c r="H72">
        <v>87.46101666666668</v>
      </c>
      <c r="I72">
        <v>110.35085333333332</v>
      </c>
      <c r="J72">
        <v>42.882476666666662</v>
      </c>
      <c r="K72">
        <v>89.361413333333346</v>
      </c>
      <c r="L72">
        <v>94.992088390641129</v>
      </c>
    </row>
    <row r="73" spans="1:12" x14ac:dyDescent="0.2">
      <c r="A73" s="4">
        <v>37165</v>
      </c>
      <c r="B73">
        <v>113.72548999999999</v>
      </c>
      <c r="C73">
        <v>90.862499999999997</v>
      </c>
      <c r="D73">
        <v>39.926519435085716</v>
      </c>
      <c r="E73">
        <v>84.028999999999996</v>
      </c>
      <c r="F73">
        <v>346.82355213712822</v>
      </c>
      <c r="G73">
        <v>125</v>
      </c>
      <c r="H73">
        <v>87.39537</v>
      </c>
      <c r="I73">
        <v>123.55362000000001</v>
      </c>
      <c r="J73">
        <v>32.89268666666667</v>
      </c>
      <c r="K73">
        <v>89.081276666666668</v>
      </c>
      <c r="L73">
        <v>94.859281102341541</v>
      </c>
    </row>
    <row r="74" spans="1:12" x14ac:dyDescent="0.2">
      <c r="A74" s="4">
        <v>37257</v>
      </c>
      <c r="B74">
        <v>122.22222333333333</v>
      </c>
      <c r="C74">
        <v>91.100666666666669</v>
      </c>
      <c r="D74">
        <v>46.588109868077396</v>
      </c>
      <c r="E74">
        <v>83.675666666666658</v>
      </c>
      <c r="F74">
        <v>31.185892048980634</v>
      </c>
      <c r="G74">
        <v>129.54544999999999</v>
      </c>
      <c r="H74">
        <v>87.674383333333324</v>
      </c>
      <c r="I74">
        <v>110.28656666666666</v>
      </c>
      <c r="J74">
        <v>34.837979999999995</v>
      </c>
      <c r="K74">
        <v>89.091396666666654</v>
      </c>
      <c r="L74">
        <v>95.104269823136789</v>
      </c>
    </row>
    <row r="75" spans="1:12" x14ac:dyDescent="0.2">
      <c r="A75" s="4">
        <v>37347</v>
      </c>
      <c r="B75">
        <v>121.89542666666667</v>
      </c>
      <c r="C75">
        <v>91.097666666666669</v>
      </c>
      <c r="D75">
        <v>43.733121151628978</v>
      </c>
      <c r="E75">
        <v>84.826000000000008</v>
      </c>
      <c r="F75">
        <v>19.942044681166294</v>
      </c>
      <c r="G75">
        <v>132.57575666666665</v>
      </c>
      <c r="H75">
        <v>88.363696666666669</v>
      </c>
      <c r="I75">
        <v>92.938103333333345</v>
      </c>
      <c r="J75">
        <v>42.350476666666665</v>
      </c>
      <c r="K75">
        <v>89.260159999999999</v>
      </c>
      <c r="L75">
        <v>95.624509071739496</v>
      </c>
    </row>
    <row r="76" spans="1:12" x14ac:dyDescent="0.2">
      <c r="A76" s="4">
        <v>37438</v>
      </c>
      <c r="B76">
        <v>120.26143999999999</v>
      </c>
      <c r="C76">
        <v>91.765833333333333</v>
      </c>
      <c r="D76">
        <v>26.689139112481143</v>
      </c>
      <c r="E76">
        <v>85.305666666666667</v>
      </c>
      <c r="F76">
        <v>147.54697390732434</v>
      </c>
      <c r="G76">
        <v>130.30302666666668</v>
      </c>
      <c r="H76">
        <v>88.839653333333331</v>
      </c>
      <c r="I76">
        <v>88.649803333333338</v>
      </c>
      <c r="J76">
        <v>45.67145</v>
      </c>
      <c r="K76">
        <v>89.577426666666668</v>
      </c>
      <c r="L76">
        <v>96.463355664426032</v>
      </c>
    </row>
    <row r="77" spans="1:12" x14ac:dyDescent="0.2">
      <c r="A77" s="4">
        <v>37530</v>
      </c>
      <c r="B77">
        <v>115.35947666666665</v>
      </c>
      <c r="C77">
        <v>92.283333333333346</v>
      </c>
      <c r="D77">
        <v>19.166277906213342</v>
      </c>
      <c r="E77">
        <v>85.777000000000001</v>
      </c>
      <c r="F77">
        <v>58.192813533652419</v>
      </c>
      <c r="G77">
        <v>133.33333333333334</v>
      </c>
      <c r="H77">
        <v>89.36484333333334</v>
      </c>
      <c r="I77">
        <v>88.514276666666674</v>
      </c>
      <c r="J77">
        <v>45.429630000000003</v>
      </c>
      <c r="K77">
        <v>89.827189999999987</v>
      </c>
      <c r="L77">
        <v>97.064366381506531</v>
      </c>
    </row>
    <row r="78" spans="1:12" x14ac:dyDescent="0.2">
      <c r="A78" s="4">
        <v>37622</v>
      </c>
      <c r="B78">
        <v>118.62745333333334</v>
      </c>
      <c r="C78">
        <v>92.13266666666668</v>
      </c>
      <c r="D78">
        <v>10.221218223107613</v>
      </c>
      <c r="E78">
        <v>86.216333333333338</v>
      </c>
      <c r="F78">
        <v>-87.189488653040314</v>
      </c>
      <c r="G78">
        <v>133.33333333333334</v>
      </c>
      <c r="H78">
        <v>90.283933333333337</v>
      </c>
      <c r="I78">
        <v>64.616183333333339</v>
      </c>
      <c r="J78">
        <v>55.005643333333332</v>
      </c>
      <c r="K78">
        <v>90.073579999999993</v>
      </c>
      <c r="L78">
        <v>96.642405342380883</v>
      </c>
    </row>
    <row r="79" spans="1:12" x14ac:dyDescent="0.2">
      <c r="A79" s="4">
        <v>37712</v>
      </c>
      <c r="B79">
        <v>120.91503333333333</v>
      </c>
      <c r="C79">
        <v>91.82983333333334</v>
      </c>
      <c r="D79">
        <v>8.1875234327489395</v>
      </c>
      <c r="E79">
        <v>86.097666666666669</v>
      </c>
      <c r="F79">
        <v>-77.329543183866022</v>
      </c>
      <c r="G79">
        <v>139.39394000000001</v>
      </c>
      <c r="H79">
        <v>90.136219999999994</v>
      </c>
      <c r="I79">
        <v>33.65544666666667</v>
      </c>
      <c r="J79">
        <v>46.810683333333337</v>
      </c>
      <c r="K79">
        <v>90.144459999999995</v>
      </c>
      <c r="L79">
        <v>97.491831562992502</v>
      </c>
    </row>
    <row r="80" spans="1:12" x14ac:dyDescent="0.2">
      <c r="A80" s="4">
        <v>37803</v>
      </c>
      <c r="B80">
        <v>116.99346333333334</v>
      </c>
      <c r="C80">
        <v>91.873833333333323</v>
      </c>
      <c r="D80">
        <v>5.9969747934330933</v>
      </c>
      <c r="E80">
        <v>85.936999999999998</v>
      </c>
      <c r="F80">
        <v>33.723230999622892</v>
      </c>
      <c r="G80">
        <v>139.39393666666663</v>
      </c>
      <c r="H80">
        <v>90.809126666666657</v>
      </c>
      <c r="I80">
        <v>86.230443333333326</v>
      </c>
      <c r="J80">
        <v>48.707613333333335</v>
      </c>
      <c r="K80">
        <v>90.49884999999999</v>
      </c>
      <c r="L80">
        <v>98.552472675066852</v>
      </c>
    </row>
    <row r="81" spans="1:12" x14ac:dyDescent="0.2">
      <c r="A81" s="4">
        <v>37895</v>
      </c>
      <c r="B81">
        <v>112.74509999999999</v>
      </c>
      <c r="C81">
        <v>92.708333333333329</v>
      </c>
      <c r="D81">
        <v>9.3581510697965786</v>
      </c>
      <c r="E81">
        <v>86.045666666666662</v>
      </c>
      <c r="F81">
        <v>50.53929740487056</v>
      </c>
      <c r="G81">
        <v>132.57575666666665</v>
      </c>
      <c r="H81">
        <v>91.153783333333323</v>
      </c>
      <c r="I81">
        <v>62.141083333333334</v>
      </c>
      <c r="J81">
        <v>50.282123333333338</v>
      </c>
      <c r="K81">
        <v>91.099636666666655</v>
      </c>
      <c r="L81">
        <v>98.868004845106739</v>
      </c>
    </row>
    <row r="82" spans="1:12" x14ac:dyDescent="0.2">
      <c r="A82" s="4">
        <v>37987</v>
      </c>
      <c r="B82">
        <v>110.78431333333333</v>
      </c>
      <c r="C82">
        <v>93.128</v>
      </c>
      <c r="D82">
        <v>6.6379451679083763</v>
      </c>
      <c r="E82">
        <v>86.638666666666666</v>
      </c>
      <c r="F82">
        <v>-122.96091200055037</v>
      </c>
      <c r="G82">
        <v>129.54545333333331</v>
      </c>
      <c r="H82">
        <v>91.925160000000005</v>
      </c>
      <c r="I82">
        <v>96.214726666666664</v>
      </c>
      <c r="J82">
        <v>56.838090000000001</v>
      </c>
      <c r="K82">
        <v>91.727419999999995</v>
      </c>
      <c r="L82">
        <v>99.241994325773575</v>
      </c>
    </row>
    <row r="83" spans="1:12" x14ac:dyDescent="0.2">
      <c r="A83" s="4">
        <v>38078</v>
      </c>
      <c r="B83">
        <v>105.55555666666667</v>
      </c>
      <c r="C83">
        <v>93.30149999999999</v>
      </c>
      <c r="D83">
        <v>21.725098034930642</v>
      </c>
      <c r="E83">
        <v>87.825000000000003</v>
      </c>
      <c r="F83">
        <v>5.6282105138107008</v>
      </c>
      <c r="G83">
        <v>127.27272999999998</v>
      </c>
      <c r="H83">
        <v>92.647299999999987</v>
      </c>
      <c r="I83">
        <v>103.71996999999999</v>
      </c>
      <c r="J83">
        <v>61.792679999999997</v>
      </c>
      <c r="K83">
        <v>92.486836666666662</v>
      </c>
      <c r="L83">
        <v>99.480825324661353</v>
      </c>
    </row>
    <row r="84" spans="1:12" x14ac:dyDescent="0.2">
      <c r="A84" s="4">
        <v>38169</v>
      </c>
      <c r="B84">
        <v>98.692813333333334</v>
      </c>
      <c r="C84">
        <v>93.373499999999993</v>
      </c>
      <c r="D84">
        <v>30.853707963355674</v>
      </c>
      <c r="E84">
        <v>88.684333333333328</v>
      </c>
      <c r="F84">
        <v>-56.911615650641558</v>
      </c>
      <c r="G84">
        <v>123.48484666666667</v>
      </c>
      <c r="H84">
        <v>93.238140000000001</v>
      </c>
      <c r="I84">
        <v>83.053793333333331</v>
      </c>
      <c r="J84">
        <v>70.707723333333334</v>
      </c>
      <c r="K84">
        <v>93.148373333333325</v>
      </c>
      <c r="L84">
        <v>100.47350715948387</v>
      </c>
    </row>
    <row r="85" spans="1:12" x14ac:dyDescent="0.2">
      <c r="A85" s="4">
        <v>38261</v>
      </c>
      <c r="B85">
        <v>100</v>
      </c>
      <c r="C85">
        <v>93.544666666666672</v>
      </c>
      <c r="D85">
        <v>40.892315932776249</v>
      </c>
      <c r="E85">
        <v>89.879333333333321</v>
      </c>
      <c r="F85">
        <v>32.775593025448615</v>
      </c>
      <c r="G85">
        <v>123.48484666666667</v>
      </c>
      <c r="H85">
        <v>94.239289999999997</v>
      </c>
      <c r="I85">
        <v>74.062419999999989</v>
      </c>
      <c r="J85">
        <v>77.876296666666676</v>
      </c>
      <c r="K85">
        <v>93.809906666666663</v>
      </c>
      <c r="L85">
        <v>99.809066648966663</v>
      </c>
    </row>
    <row r="86" spans="1:12" x14ac:dyDescent="0.2">
      <c r="A86" s="4">
        <v>38353</v>
      </c>
      <c r="B86">
        <v>106.86274666666668</v>
      </c>
      <c r="C86">
        <v>93.781499999999994</v>
      </c>
      <c r="D86">
        <v>59.112203419619597</v>
      </c>
      <c r="E86">
        <v>90.025333333333336</v>
      </c>
      <c r="F86">
        <v>-101.82908122082442</v>
      </c>
      <c r="G86">
        <v>120.45454666666667</v>
      </c>
      <c r="H86">
        <v>94.715246666666658</v>
      </c>
      <c r="I86">
        <v>105.45824666666665</v>
      </c>
      <c r="J86">
        <v>80.133269999999996</v>
      </c>
      <c r="K86">
        <v>94.468070000000012</v>
      </c>
      <c r="L86">
        <v>100.27047250389421</v>
      </c>
    </row>
    <row r="87" spans="1:12" x14ac:dyDescent="0.2">
      <c r="A87" s="4">
        <v>38443</v>
      </c>
      <c r="B87">
        <v>110.45751333333334</v>
      </c>
      <c r="C87">
        <v>94.362333333333325</v>
      </c>
      <c r="D87">
        <v>69.920009835835117</v>
      </c>
      <c r="E87">
        <v>92.225999999999999</v>
      </c>
      <c r="F87">
        <v>-113.62132249783771</v>
      </c>
      <c r="G87">
        <v>115.90908999999999</v>
      </c>
      <c r="H87">
        <v>95.35532666666667</v>
      </c>
      <c r="I87">
        <v>84.260980000000004</v>
      </c>
      <c r="J87">
        <v>85.512386666666657</v>
      </c>
      <c r="K87">
        <v>95.240986666666672</v>
      </c>
      <c r="L87">
        <v>101.38936260283315</v>
      </c>
    </row>
    <row r="88" spans="1:12" x14ac:dyDescent="0.2">
      <c r="A88" s="4">
        <v>38534</v>
      </c>
      <c r="B88">
        <v>111.11111</v>
      </c>
      <c r="C88">
        <v>94.904499999999999</v>
      </c>
      <c r="D88">
        <v>79.734668704577928</v>
      </c>
      <c r="E88">
        <v>94.114666666666665</v>
      </c>
      <c r="F88">
        <v>-24.49046354276631</v>
      </c>
      <c r="G88">
        <v>112.87878666666666</v>
      </c>
      <c r="H88">
        <v>96.799606666666662</v>
      </c>
      <c r="I88">
        <v>113.43912999999999</v>
      </c>
      <c r="J88">
        <v>101.69272999999998</v>
      </c>
      <c r="K88">
        <v>96.024029999999996</v>
      </c>
      <c r="L88">
        <v>101.17877590947008</v>
      </c>
    </row>
    <row r="89" spans="1:12" x14ac:dyDescent="0.2">
      <c r="A89" s="4">
        <v>38626</v>
      </c>
      <c r="B89">
        <v>113.39869333333333</v>
      </c>
      <c r="C89">
        <v>95.913000000000011</v>
      </c>
      <c r="D89">
        <v>92.013167365636676</v>
      </c>
      <c r="E89">
        <v>96.471666666666678</v>
      </c>
      <c r="F89">
        <v>4.5096485497316836</v>
      </c>
      <c r="G89">
        <v>112.87878666666666</v>
      </c>
      <c r="H89">
        <v>97.702283333333341</v>
      </c>
      <c r="I89">
        <v>102.40613</v>
      </c>
      <c r="J89">
        <v>96.78112666666668</v>
      </c>
      <c r="K89">
        <v>96.719323333333321</v>
      </c>
      <c r="L89">
        <v>100.87148339278816</v>
      </c>
    </row>
    <row r="90" spans="1:12" x14ac:dyDescent="0.2">
      <c r="A90" s="4">
        <v>38718</v>
      </c>
      <c r="B90">
        <v>104.57516333333335</v>
      </c>
      <c r="C90">
        <v>96.502833333333342</v>
      </c>
      <c r="D90">
        <v>98.104991637342025</v>
      </c>
      <c r="E90">
        <v>95.875</v>
      </c>
      <c r="F90">
        <v>-130.41741086083877</v>
      </c>
      <c r="G90">
        <v>107.57575666666666</v>
      </c>
      <c r="H90">
        <v>98.211063333333342</v>
      </c>
      <c r="I90">
        <v>98.310866666666655</v>
      </c>
      <c r="J90">
        <v>102.12263</v>
      </c>
      <c r="K90">
        <v>97.630620000000008</v>
      </c>
      <c r="L90">
        <v>100.65461563867105</v>
      </c>
    </row>
    <row r="91" spans="1:12" x14ac:dyDescent="0.2">
      <c r="A91" s="4">
        <v>38808</v>
      </c>
      <c r="B91">
        <v>104.90196333333334</v>
      </c>
      <c r="C91">
        <v>96.608333333333334</v>
      </c>
      <c r="D91">
        <v>101.01539812989616</v>
      </c>
      <c r="E91">
        <v>98.025333333333336</v>
      </c>
      <c r="F91">
        <v>-42.913310768909291</v>
      </c>
      <c r="G91">
        <v>105.30302666666667</v>
      </c>
      <c r="H91">
        <v>99.097326666666675</v>
      </c>
      <c r="I91">
        <v>126.88615</v>
      </c>
      <c r="J91">
        <v>113.70304666666665</v>
      </c>
      <c r="K91">
        <v>98.454166666666666</v>
      </c>
      <c r="L91">
        <v>99.960394658220949</v>
      </c>
    </row>
    <row r="92" spans="1:12" x14ac:dyDescent="0.2">
      <c r="A92" s="4">
        <v>38899</v>
      </c>
      <c r="B92">
        <v>105.55555666666667</v>
      </c>
      <c r="C92">
        <v>97.730833333333337</v>
      </c>
      <c r="D92">
        <v>104.23552719478967</v>
      </c>
      <c r="E92">
        <v>99.641666666666652</v>
      </c>
      <c r="F92">
        <v>-4.1637967584577593</v>
      </c>
      <c r="G92">
        <v>105.30302999999999</v>
      </c>
      <c r="H92">
        <v>100.03282666666667</v>
      </c>
      <c r="I92">
        <v>119.62817333333335</v>
      </c>
      <c r="J92">
        <v>113.56332999999999</v>
      </c>
      <c r="K92">
        <v>99.092073333333346</v>
      </c>
      <c r="L92">
        <v>99.373666784561351</v>
      </c>
    </row>
    <row r="93" spans="1:12" x14ac:dyDescent="0.2">
      <c r="A93" s="4">
        <v>38991</v>
      </c>
      <c r="B93">
        <v>100.32679666666667</v>
      </c>
      <c r="C93">
        <v>98.558166666666679</v>
      </c>
      <c r="D93">
        <v>101.55264875990376</v>
      </c>
      <c r="E93">
        <v>98.620999999999995</v>
      </c>
      <c r="F93">
        <v>35.234516566078881</v>
      </c>
      <c r="G93">
        <v>100.75757666666668</v>
      </c>
      <c r="H93">
        <v>99.622516666666669</v>
      </c>
      <c r="I93">
        <v>114.97318333333334</v>
      </c>
      <c r="J93">
        <v>96.877853333333334</v>
      </c>
      <c r="K93">
        <v>99.75023666666668</v>
      </c>
      <c r="L93">
        <v>99.942026555889811</v>
      </c>
    </row>
    <row r="94" spans="1:12" x14ac:dyDescent="0.2">
      <c r="A94" s="4">
        <v>39083</v>
      </c>
      <c r="B94">
        <v>102.28758000000001</v>
      </c>
      <c r="C94">
        <v>100.1305</v>
      </c>
      <c r="D94">
        <v>100.84961667954069</v>
      </c>
      <c r="E94">
        <v>100.48133333333334</v>
      </c>
      <c r="F94">
        <v>116.34126275556918</v>
      </c>
      <c r="G94">
        <v>102.27272666666666</v>
      </c>
      <c r="H94">
        <v>100.59921333333334</v>
      </c>
      <c r="I94">
        <v>123.52222333333333</v>
      </c>
      <c r="J94">
        <v>93.71271999999999</v>
      </c>
      <c r="K94">
        <v>100.46915000000001</v>
      </c>
      <c r="L94">
        <v>99.203517713760462</v>
      </c>
    </row>
    <row r="95" spans="1:12" x14ac:dyDescent="0.2">
      <c r="A95" s="4">
        <v>39173</v>
      </c>
      <c r="B95">
        <v>108.82353000000001</v>
      </c>
      <c r="C95">
        <v>100.28966666666668</v>
      </c>
      <c r="D95">
        <v>98.795809039252447</v>
      </c>
      <c r="E95">
        <v>101.96633333333334</v>
      </c>
      <c r="F95">
        <v>-96.207157536917236</v>
      </c>
      <c r="G95">
        <v>102.27272666666666</v>
      </c>
      <c r="H95">
        <v>101.73855333333331</v>
      </c>
      <c r="I95">
        <v>97.715550000000007</v>
      </c>
      <c r="J95">
        <v>104.73964333333333</v>
      </c>
      <c r="K95">
        <v>101.12731333333333</v>
      </c>
      <c r="L95">
        <v>98.274226173752481</v>
      </c>
    </row>
    <row r="96" spans="1:12" x14ac:dyDescent="0.2">
      <c r="A96" s="4">
        <v>39264</v>
      </c>
      <c r="B96">
        <v>114.05228666666666</v>
      </c>
      <c r="C96">
        <v>100.61949999999997</v>
      </c>
      <c r="D96">
        <v>89.887891876172162</v>
      </c>
      <c r="E96">
        <v>102.41199999999999</v>
      </c>
      <c r="F96">
        <v>255.38392900622611</v>
      </c>
      <c r="G96">
        <v>106.06060333333333</v>
      </c>
      <c r="H96">
        <v>102.38256999999999</v>
      </c>
      <c r="I96">
        <v>106.61042000000002</v>
      </c>
      <c r="J96">
        <v>121.7153</v>
      </c>
      <c r="K96">
        <v>101.51208000000001</v>
      </c>
      <c r="L96">
        <v>98.386168956022871</v>
      </c>
    </row>
    <row r="97" spans="1:12" x14ac:dyDescent="0.2">
      <c r="A97" s="4">
        <v>39356</v>
      </c>
      <c r="B97">
        <v>112.4183</v>
      </c>
      <c r="C97">
        <v>101.26283333333333</v>
      </c>
      <c r="D97">
        <v>68.957376440406691</v>
      </c>
      <c r="E97">
        <v>103.883</v>
      </c>
      <c r="F97">
        <v>-216.44870683354972</v>
      </c>
      <c r="G97">
        <v>109.09090666666667</v>
      </c>
      <c r="H97">
        <v>103.63843666666666</v>
      </c>
      <c r="I97">
        <v>120.98666666666666</v>
      </c>
      <c r="J97">
        <v>146.46138999999997</v>
      </c>
      <c r="K97">
        <v>101.91710333333333</v>
      </c>
      <c r="L97">
        <v>96.862524731559276</v>
      </c>
    </row>
    <row r="98" spans="1:12" x14ac:dyDescent="0.2">
      <c r="A98" s="4">
        <v>39448</v>
      </c>
      <c r="B98">
        <v>105.22876000000001</v>
      </c>
      <c r="C98">
        <v>101.92233333333333</v>
      </c>
      <c r="D98">
        <v>32.069819931775179</v>
      </c>
      <c r="E98">
        <v>105.322</v>
      </c>
      <c r="F98">
        <v>86.844505755452914</v>
      </c>
      <c r="G98">
        <v>113.63636333333334</v>
      </c>
      <c r="H98">
        <v>104.76103666666667</v>
      </c>
      <c r="I98">
        <v>112.29020333333334</v>
      </c>
      <c r="J98">
        <v>157.91283666666666</v>
      </c>
      <c r="K98">
        <v>102.22424666666666</v>
      </c>
      <c r="L98">
        <v>96.278417738331314</v>
      </c>
    </row>
    <row r="99" spans="1:12" x14ac:dyDescent="0.2">
      <c r="A99" s="4">
        <v>39539</v>
      </c>
      <c r="B99">
        <v>109.15032666666667</v>
      </c>
      <c r="C99">
        <v>103.07283333333334</v>
      </c>
      <c r="D99">
        <v>42.599508946337131</v>
      </c>
      <c r="E99">
        <v>107.32133333333333</v>
      </c>
      <c r="F99">
        <v>148.14430023834146</v>
      </c>
      <c r="G99">
        <v>121.21211999999998</v>
      </c>
      <c r="H99">
        <v>106.12391666666667</v>
      </c>
      <c r="I99">
        <v>107.10370666666665</v>
      </c>
      <c r="J99">
        <v>199.84415999999999</v>
      </c>
      <c r="K99">
        <v>102.25462333333333</v>
      </c>
      <c r="L99">
        <v>95.666720555884353</v>
      </c>
    </row>
    <row r="100" spans="1:12" x14ac:dyDescent="0.2">
      <c r="A100" s="4">
        <v>39630</v>
      </c>
      <c r="B100">
        <v>119.60784333333334</v>
      </c>
      <c r="C100">
        <v>104.11283333333334</v>
      </c>
      <c r="D100">
        <v>44.710223675680389</v>
      </c>
      <c r="E100">
        <v>109.83466666666668</v>
      </c>
      <c r="F100">
        <v>-108.12393642859927</v>
      </c>
      <c r="G100">
        <v>136.36363333333335</v>
      </c>
      <c r="H100">
        <v>107.76021333333331</v>
      </c>
      <c r="I100">
        <v>123.56726333333334</v>
      </c>
      <c r="J100">
        <v>190.20366666666666</v>
      </c>
      <c r="K100">
        <v>101.96436</v>
      </c>
      <c r="L100">
        <v>94.52911801868386</v>
      </c>
    </row>
    <row r="101" spans="1:12" x14ac:dyDescent="0.2">
      <c r="A101" s="4">
        <v>39722</v>
      </c>
      <c r="B101">
        <v>128.43136999999999</v>
      </c>
      <c r="C101">
        <v>104.49733333333334</v>
      </c>
      <c r="D101">
        <v>16.607421177392542</v>
      </c>
      <c r="E101">
        <v>107.56166666666667</v>
      </c>
      <c r="F101">
        <v>360.78327696438299</v>
      </c>
      <c r="G101">
        <v>156.06060333333332</v>
      </c>
      <c r="H101">
        <v>105.29230333333334</v>
      </c>
      <c r="I101">
        <v>55.05254</v>
      </c>
      <c r="J101">
        <v>94.099626666666666</v>
      </c>
      <c r="K101">
        <v>101.14080999999999</v>
      </c>
      <c r="L101">
        <v>93.034293045868438</v>
      </c>
    </row>
    <row r="102" spans="1:12" x14ac:dyDescent="0.2">
      <c r="A102" s="4">
        <v>39814</v>
      </c>
      <c r="B102">
        <v>140.84967333333336</v>
      </c>
      <c r="C102">
        <v>105.74616666666667</v>
      </c>
      <c r="D102">
        <v>10.371417979740626</v>
      </c>
      <c r="E102">
        <v>105.81866666666667</v>
      </c>
      <c r="F102">
        <v>75.724510739506414</v>
      </c>
      <c r="G102">
        <v>187.87878666666666</v>
      </c>
      <c r="H102">
        <v>104.56803000000001</v>
      </c>
      <c r="I102">
        <v>78.950606666666673</v>
      </c>
      <c r="J102">
        <v>69.256810000000002</v>
      </c>
      <c r="K102">
        <v>99.756983333333338</v>
      </c>
      <c r="L102">
        <v>91.978168230540021</v>
      </c>
    </row>
    <row r="103" spans="1:12" x14ac:dyDescent="0.2">
      <c r="A103" s="4">
        <v>39904</v>
      </c>
      <c r="B103">
        <v>150</v>
      </c>
      <c r="C103">
        <v>106.58049999999999</v>
      </c>
      <c r="D103">
        <v>-2.8532139223388078</v>
      </c>
      <c r="E103">
        <v>107.35700000000001</v>
      </c>
      <c r="F103">
        <v>-104.43504095422499</v>
      </c>
      <c r="G103">
        <v>211.3636333333333</v>
      </c>
      <c r="H103">
        <v>105.12407999999999</v>
      </c>
      <c r="I103">
        <v>47.828756666666663</v>
      </c>
      <c r="J103">
        <v>95.991186666666678</v>
      </c>
      <c r="K103">
        <v>98.467663333333334</v>
      </c>
      <c r="L103">
        <v>90.364468234825893</v>
      </c>
    </row>
    <row r="104" spans="1:12" x14ac:dyDescent="0.2">
      <c r="A104" s="4">
        <v>39995</v>
      </c>
      <c r="B104">
        <v>155.88235333333333</v>
      </c>
      <c r="C104">
        <v>107.36749999999999</v>
      </c>
      <c r="D104">
        <v>-6.4886648199189816</v>
      </c>
      <c r="E104">
        <v>108.63566666666667</v>
      </c>
      <c r="F104">
        <v>134.8177577942576</v>
      </c>
      <c r="G104">
        <v>218.93939333333333</v>
      </c>
      <c r="H104">
        <v>106.02855666666666</v>
      </c>
      <c r="I104">
        <v>32.601516666666669</v>
      </c>
      <c r="J104">
        <v>109.95217333333335</v>
      </c>
      <c r="K104">
        <v>97.95126333333333</v>
      </c>
      <c r="L104">
        <v>89.463838706502358</v>
      </c>
    </row>
    <row r="105" spans="1:12" x14ac:dyDescent="0.2">
      <c r="A105" s="4">
        <v>40087</v>
      </c>
      <c r="B105">
        <v>156.20914999999999</v>
      </c>
      <c r="C105">
        <v>107.67966666666666</v>
      </c>
      <c r="D105">
        <v>-13.881099800734418</v>
      </c>
      <c r="E105">
        <v>109.42333333333333</v>
      </c>
      <c r="F105">
        <v>-2.7578404655026674</v>
      </c>
      <c r="G105">
        <v>225.75757666666667</v>
      </c>
      <c r="H105">
        <v>106.85869000000001</v>
      </c>
      <c r="I105">
        <v>26.504683333333332</v>
      </c>
      <c r="J105">
        <v>122.62883666666666</v>
      </c>
      <c r="K105">
        <v>97.812880000000007</v>
      </c>
      <c r="L105">
        <v>87.988135467005634</v>
      </c>
    </row>
    <row r="106" spans="1:12" x14ac:dyDescent="0.2">
      <c r="A106" s="4">
        <v>40179</v>
      </c>
      <c r="B106">
        <v>159.80392333333336</v>
      </c>
      <c r="C106">
        <v>107.69966666666666</v>
      </c>
      <c r="D106">
        <v>-19.31725060666653</v>
      </c>
      <c r="E106">
        <v>110.28399999999999</v>
      </c>
      <c r="F106">
        <v>-9.5858176301414719</v>
      </c>
      <c r="G106">
        <v>223.48484666666664</v>
      </c>
      <c r="H106">
        <v>107.02806333333335</v>
      </c>
      <c r="I106">
        <v>3.5151199999999996</v>
      </c>
      <c r="J106">
        <v>126.75587</v>
      </c>
      <c r="K106">
        <v>98.079520000000002</v>
      </c>
      <c r="L106">
        <v>87.62494914814539</v>
      </c>
    </row>
    <row r="107" spans="1:12" x14ac:dyDescent="0.2">
      <c r="A107" s="4">
        <v>40269</v>
      </c>
      <c r="B107">
        <v>166.01307</v>
      </c>
      <c r="C107">
        <v>108.18783333333333</v>
      </c>
      <c r="D107">
        <v>-15.256629911651833</v>
      </c>
      <c r="E107">
        <v>110.771</v>
      </c>
      <c r="F107">
        <v>-21.504663573076105</v>
      </c>
      <c r="G107">
        <v>218.93939333333333</v>
      </c>
      <c r="H107">
        <v>106.99031666666667</v>
      </c>
      <c r="I107">
        <v>24.375746666666668</v>
      </c>
      <c r="J107">
        <v>125.56827333333332</v>
      </c>
      <c r="K107">
        <v>98.79843666666666</v>
      </c>
      <c r="L107">
        <v>87.097228073623441</v>
      </c>
    </row>
    <row r="108" spans="1:12" x14ac:dyDescent="0.2">
      <c r="A108" s="4">
        <v>40360</v>
      </c>
      <c r="B108">
        <v>159.80392333333336</v>
      </c>
      <c r="C108">
        <v>107.90983333333334</v>
      </c>
      <c r="D108">
        <v>-12.652843911773395</v>
      </c>
      <c r="E108">
        <v>110.30733333333332</v>
      </c>
      <c r="F108">
        <v>23.637561317801538</v>
      </c>
      <c r="G108">
        <v>215.15151333333333</v>
      </c>
      <c r="H108">
        <v>107.30395666666668</v>
      </c>
      <c r="I108">
        <v>31.783023333333333</v>
      </c>
      <c r="J108">
        <v>122.79005000000001</v>
      </c>
      <c r="K108">
        <v>99.351966666666655</v>
      </c>
      <c r="L108">
        <v>86.06149187291112</v>
      </c>
    </row>
    <row r="109" spans="1:12" x14ac:dyDescent="0.2">
      <c r="A109" s="4">
        <v>40452</v>
      </c>
      <c r="B109">
        <v>155.55555666666666</v>
      </c>
      <c r="C109">
        <v>107.95516666666667</v>
      </c>
      <c r="D109">
        <v>-19.517863314581415</v>
      </c>
      <c r="E109">
        <v>110.54233333333333</v>
      </c>
      <c r="F109">
        <v>-14.125542862133257</v>
      </c>
      <c r="G109">
        <v>215.90908999999999</v>
      </c>
      <c r="H109">
        <v>108.17282</v>
      </c>
      <c r="I109">
        <v>46.93578333333334</v>
      </c>
      <c r="J109">
        <v>137.07345999999998</v>
      </c>
      <c r="K109">
        <v>99.932493333333341</v>
      </c>
      <c r="L109">
        <v>86.020971439621647</v>
      </c>
    </row>
    <row r="110" spans="1:12" x14ac:dyDescent="0.2">
      <c r="A110" s="4">
        <v>40544</v>
      </c>
      <c r="B110">
        <v>160.45751666666669</v>
      </c>
      <c r="C110">
        <v>108.09366666666666</v>
      </c>
      <c r="D110">
        <v>-24.527468147307768</v>
      </c>
      <c r="E110">
        <v>112.19333333333334</v>
      </c>
      <c r="F110">
        <v>-17.0822145184436</v>
      </c>
      <c r="G110">
        <v>205.30302666666668</v>
      </c>
      <c r="H110">
        <v>109.32726333333333</v>
      </c>
      <c r="I110">
        <v>83.584279999999993</v>
      </c>
      <c r="J110">
        <v>151.50733333333335</v>
      </c>
      <c r="K110">
        <v>100.67841333333332</v>
      </c>
      <c r="L110">
        <v>85.369178854618625</v>
      </c>
    </row>
    <row r="111" spans="1:12" x14ac:dyDescent="0.2">
      <c r="A111" s="4">
        <v>40634</v>
      </c>
      <c r="B111">
        <v>159.80392333333333</v>
      </c>
      <c r="C111">
        <v>108.4645</v>
      </c>
      <c r="D111">
        <v>-23.691858585192318</v>
      </c>
      <c r="E111">
        <v>114.075</v>
      </c>
      <c r="F111">
        <v>-14.70949872872842</v>
      </c>
      <c r="G111">
        <v>206.06060333333335</v>
      </c>
      <c r="H111">
        <v>110.57033</v>
      </c>
      <c r="I111">
        <v>79.271720000000002</v>
      </c>
      <c r="J111">
        <v>165.32860333333332</v>
      </c>
      <c r="K111">
        <v>101.43783000000001</v>
      </c>
      <c r="L111">
        <v>84.901018694288936</v>
      </c>
    </row>
    <row r="112" spans="1:12" x14ac:dyDescent="0.2">
      <c r="A112" s="4">
        <v>40725</v>
      </c>
      <c r="B112">
        <v>154.24836666666667</v>
      </c>
      <c r="C112">
        <v>109.22083333333335</v>
      </c>
      <c r="D112">
        <v>-14.24609182412585</v>
      </c>
      <c r="E112">
        <v>114.50433333333332</v>
      </c>
      <c r="F112">
        <v>-75.251771976211288</v>
      </c>
      <c r="G112">
        <v>204.54544999999999</v>
      </c>
      <c r="H112">
        <v>111.29131666666667</v>
      </c>
      <c r="I112">
        <v>100.37105000000001</v>
      </c>
      <c r="J112">
        <v>144.62356666666668</v>
      </c>
      <c r="K112">
        <v>102.10611333333333</v>
      </c>
      <c r="L112">
        <v>84.517151557622029</v>
      </c>
    </row>
    <row r="113" spans="1:12" x14ac:dyDescent="0.2">
      <c r="A113" s="4">
        <v>40817</v>
      </c>
      <c r="B113">
        <v>151.63398333333333</v>
      </c>
      <c r="C113">
        <v>109.18566666666668</v>
      </c>
      <c r="D113">
        <v>-6.8092290692924999</v>
      </c>
      <c r="E113">
        <v>113.94433333333332</v>
      </c>
      <c r="F113">
        <v>-52.559906907071202</v>
      </c>
      <c r="G113">
        <v>196.21212333333335</v>
      </c>
      <c r="H113">
        <v>111.79090666666666</v>
      </c>
      <c r="I113">
        <v>76.359143333333336</v>
      </c>
      <c r="J113">
        <v>151.64167666666665</v>
      </c>
      <c r="K113">
        <v>102.96678666666666</v>
      </c>
      <c r="L113">
        <v>85.511226906200591</v>
      </c>
    </row>
    <row r="114" spans="1:12" x14ac:dyDescent="0.2">
      <c r="A114" s="4">
        <v>40909</v>
      </c>
      <c r="B114">
        <v>148.03921666666668</v>
      </c>
      <c r="C114">
        <v>109.76799999999999</v>
      </c>
      <c r="D114">
        <v>-6.4171923286765535</v>
      </c>
      <c r="E114">
        <v>114.58233333333332</v>
      </c>
      <c r="F114">
        <v>-12.744600537983883</v>
      </c>
      <c r="G114">
        <v>187.87878666666666</v>
      </c>
      <c r="H114">
        <v>112.42048333333332</v>
      </c>
      <c r="I114">
        <v>89.314653333333339</v>
      </c>
      <c r="J114">
        <v>165.87672666666666</v>
      </c>
      <c r="K114">
        <v>103.92196333333334</v>
      </c>
      <c r="L114">
        <v>85.747008669875299</v>
      </c>
    </row>
    <row r="115" spans="1:12" x14ac:dyDescent="0.2">
      <c r="A115" s="4">
        <v>41000</v>
      </c>
      <c r="B115">
        <v>141.83006666666665</v>
      </c>
      <c r="C115">
        <v>109.62599999999999</v>
      </c>
      <c r="D115">
        <v>-2.7085899655226271</v>
      </c>
      <c r="E115">
        <v>115.69499999999999</v>
      </c>
      <c r="F115">
        <v>-53.666556308822571</v>
      </c>
      <c r="G115">
        <v>186.36364</v>
      </c>
      <c r="H115">
        <v>112.65780333333333</v>
      </c>
      <c r="I115">
        <v>72.637043333333338</v>
      </c>
      <c r="J115">
        <v>150.70127333333332</v>
      </c>
      <c r="K115">
        <v>104.70838666666667</v>
      </c>
      <c r="L115">
        <v>85.837596025022108</v>
      </c>
    </row>
    <row r="116" spans="1:12" x14ac:dyDescent="0.2">
      <c r="A116" s="4">
        <v>41091</v>
      </c>
      <c r="B116">
        <v>137.58169666666666</v>
      </c>
      <c r="C116">
        <v>109.85916666666667</v>
      </c>
      <c r="D116">
        <v>-1.2320903245015975</v>
      </c>
      <c r="E116">
        <v>114.96966666666667</v>
      </c>
      <c r="F116">
        <v>-60.199157094239922</v>
      </c>
      <c r="G116">
        <v>182.57576000000003</v>
      </c>
      <c r="H116">
        <v>113.16642</v>
      </c>
      <c r="I116">
        <v>83.092583333333337</v>
      </c>
      <c r="J116">
        <v>148.75060666666667</v>
      </c>
      <c r="K116">
        <v>105.46105</v>
      </c>
      <c r="L116">
        <v>85.848597580450374</v>
      </c>
    </row>
    <row r="117" spans="1:12" x14ac:dyDescent="0.2">
      <c r="A117" s="4">
        <v>41183</v>
      </c>
      <c r="B117">
        <v>139.86928333333333</v>
      </c>
      <c r="C117">
        <v>110.76066666666668</v>
      </c>
      <c r="D117">
        <v>-6.1084303652522189</v>
      </c>
      <c r="E117">
        <v>115.58733333333333</v>
      </c>
      <c r="F117">
        <v>-16.794444555110573</v>
      </c>
      <c r="G117">
        <v>177.27272666666667</v>
      </c>
      <c r="H117">
        <v>113.91892666666666</v>
      </c>
      <c r="I117">
        <v>70.173733333333331</v>
      </c>
      <c r="J117">
        <v>142.12477666666666</v>
      </c>
      <c r="K117">
        <v>106.22721666666666</v>
      </c>
      <c r="L117">
        <v>85.687247179950703</v>
      </c>
    </row>
    <row r="118" spans="1:12" x14ac:dyDescent="0.2">
      <c r="A118" s="4">
        <v>41275</v>
      </c>
      <c r="B118">
        <v>137.58169999999998</v>
      </c>
      <c r="C118">
        <v>111.35433333333333</v>
      </c>
      <c r="D118">
        <v>-12.37766755052057</v>
      </c>
      <c r="E118">
        <v>116.19200000000001</v>
      </c>
      <c r="F118">
        <v>-22.48555217447759</v>
      </c>
      <c r="G118">
        <v>175.75757666666667</v>
      </c>
      <c r="H118">
        <v>114.37682333333333</v>
      </c>
      <c r="I118">
        <v>78.378256666666672</v>
      </c>
      <c r="J118">
        <v>152.10919333333334</v>
      </c>
      <c r="K118">
        <v>107.09463999999998</v>
      </c>
      <c r="L118">
        <v>85.090916921490475</v>
      </c>
    </row>
    <row r="119" spans="1:12" x14ac:dyDescent="0.2">
      <c r="A119" s="4">
        <v>41365</v>
      </c>
      <c r="B119">
        <v>134.64052666666666</v>
      </c>
      <c r="C119">
        <v>110.34933333333333</v>
      </c>
      <c r="D119">
        <v>-11.346600082990525</v>
      </c>
      <c r="E119">
        <v>116.04933333333334</v>
      </c>
      <c r="F119">
        <v>-23.801117822613861</v>
      </c>
      <c r="G119">
        <v>171.21212333333335</v>
      </c>
      <c r="H119">
        <v>114.2516</v>
      </c>
      <c r="I119">
        <v>75.611953333333332</v>
      </c>
      <c r="J119">
        <v>151.89962</v>
      </c>
      <c r="K119">
        <v>107.95193666666667</v>
      </c>
      <c r="L119">
        <v>83.691239119394524</v>
      </c>
    </row>
    <row r="120" spans="1:12" x14ac:dyDescent="0.2">
      <c r="A120" s="4">
        <v>41456</v>
      </c>
      <c r="B120">
        <v>139.86927999999997</v>
      </c>
      <c r="C120">
        <v>112.15383333333334</v>
      </c>
      <c r="D120">
        <v>-18.716269343070419</v>
      </c>
      <c r="E120">
        <v>116.82133333333333</v>
      </c>
      <c r="F120">
        <v>-2.4616202207097864</v>
      </c>
      <c r="G120">
        <v>164.39393666666663</v>
      </c>
      <c r="H120">
        <v>114.86952333333333</v>
      </c>
      <c r="I120">
        <v>78.068626666666674</v>
      </c>
      <c r="J120">
        <v>170.60024666666666</v>
      </c>
      <c r="K120">
        <v>108.84973666666667</v>
      </c>
      <c r="L120">
        <v>82.814726563796157</v>
      </c>
    </row>
    <row r="121" spans="1:12" x14ac:dyDescent="0.2">
      <c r="A121" s="4">
        <v>41548</v>
      </c>
      <c r="B121">
        <v>146.07843</v>
      </c>
      <c r="C121">
        <v>111.779</v>
      </c>
      <c r="D121">
        <v>-23.743144912346793</v>
      </c>
      <c r="E121">
        <v>116.66033333333333</v>
      </c>
      <c r="F121">
        <v>-26.655635762838887</v>
      </c>
      <c r="G121">
        <v>157.57575666666665</v>
      </c>
      <c r="H121">
        <v>115.29427333333332</v>
      </c>
      <c r="I121">
        <v>80.887506666666681</v>
      </c>
      <c r="J121">
        <v>156.92944</v>
      </c>
      <c r="K121">
        <v>109.74753666666668</v>
      </c>
      <c r="L121">
        <v>82.839204073565028</v>
      </c>
    </row>
    <row r="122" spans="1:12" x14ac:dyDescent="0.2">
      <c r="A122" s="4">
        <v>41640</v>
      </c>
      <c r="B122">
        <v>142.81045666666668</v>
      </c>
      <c r="C122">
        <v>112.78133333333334</v>
      </c>
      <c r="D122">
        <v>-20.653592831886119</v>
      </c>
      <c r="E122">
        <v>116.57766666666667</v>
      </c>
      <c r="F122">
        <v>-43.627704799398202</v>
      </c>
      <c r="G122">
        <v>151.51515333333336</v>
      </c>
      <c r="H122">
        <v>116.01230666666667</v>
      </c>
      <c r="I122">
        <v>93.145043333333334</v>
      </c>
      <c r="J122">
        <v>159.19179</v>
      </c>
      <c r="K122">
        <v>110.58795666666667</v>
      </c>
      <c r="L122">
        <v>81.927466980399373</v>
      </c>
    </row>
    <row r="123" spans="1:12" x14ac:dyDescent="0.2">
      <c r="A123" s="4">
        <v>41730</v>
      </c>
      <c r="B123">
        <v>133.98692666666665</v>
      </c>
      <c r="C123">
        <v>112.73383333333334</v>
      </c>
      <c r="D123">
        <v>-15.987896921090483</v>
      </c>
      <c r="E123">
        <v>117.10300000000001</v>
      </c>
      <c r="F123">
        <v>-36.471100628310765</v>
      </c>
      <c r="G123">
        <v>140.90908999999999</v>
      </c>
      <c r="H123">
        <v>116.62842666666667</v>
      </c>
      <c r="I123">
        <v>74.259399999999999</v>
      </c>
      <c r="J123">
        <v>166.60755666666668</v>
      </c>
      <c r="K123">
        <v>111.71864333333333</v>
      </c>
      <c r="L123">
        <v>81.760725183957348</v>
      </c>
    </row>
    <row r="124" spans="1:12" x14ac:dyDescent="0.2">
      <c r="A124" s="4">
        <v>41821</v>
      </c>
      <c r="B124">
        <v>136.60130666666666</v>
      </c>
      <c r="C124">
        <v>112.17033333333335</v>
      </c>
      <c r="D124">
        <v>-9.9398459694610217</v>
      </c>
      <c r="E124">
        <v>117.63466666666666</v>
      </c>
      <c r="F124">
        <v>-35.199389758696178</v>
      </c>
      <c r="G124">
        <v>137.87878666666666</v>
      </c>
      <c r="H124">
        <v>116.92679666666668</v>
      </c>
      <c r="I124">
        <v>74.505563333333342</v>
      </c>
      <c r="J124">
        <v>157.63340333333335</v>
      </c>
      <c r="K124">
        <v>112.69407333333334</v>
      </c>
      <c r="L124">
        <v>80.463107520519159</v>
      </c>
    </row>
    <row r="125" spans="1:12" x14ac:dyDescent="0.2">
      <c r="A125" s="4">
        <v>41913</v>
      </c>
      <c r="B125">
        <v>129.08496666666665</v>
      </c>
      <c r="C125">
        <v>112.57783333333333</v>
      </c>
      <c r="D125">
        <v>-3.5796540933574672</v>
      </c>
      <c r="E125">
        <v>117.04566666666666</v>
      </c>
      <c r="F125">
        <v>25.736141779184976</v>
      </c>
      <c r="G125">
        <v>129.54545333333331</v>
      </c>
      <c r="H125">
        <v>116.63630000000001</v>
      </c>
      <c r="I125">
        <v>86.449466666666652</v>
      </c>
      <c r="J125">
        <v>117.94293</v>
      </c>
      <c r="K125">
        <v>113.80113666666666</v>
      </c>
      <c r="L125">
        <v>80.429230116589437</v>
      </c>
    </row>
    <row r="126" spans="1:12" x14ac:dyDescent="0.2">
      <c r="A126" s="4">
        <v>42005</v>
      </c>
      <c r="B126">
        <v>118.62745</v>
      </c>
      <c r="C126">
        <v>111.85916666666667</v>
      </c>
      <c r="D126">
        <v>5.0820558834380138</v>
      </c>
      <c r="E126">
        <v>115.303</v>
      </c>
      <c r="F126">
        <v>85.276567680476504</v>
      </c>
      <c r="G126">
        <v>125.75757333333333</v>
      </c>
      <c r="H126">
        <v>115.88134000000001</v>
      </c>
      <c r="I126">
        <v>77.481216666666668</v>
      </c>
      <c r="J126">
        <v>78.252459999999999</v>
      </c>
      <c r="K126">
        <v>114.83394</v>
      </c>
      <c r="L126">
        <v>80.869635913835438</v>
      </c>
    </row>
    <row r="127" spans="1:12" x14ac:dyDescent="0.2">
      <c r="A127" s="4">
        <v>42095</v>
      </c>
      <c r="B127">
        <v>118.62745</v>
      </c>
      <c r="C127">
        <v>112.1795</v>
      </c>
      <c r="D127">
        <v>0.31099432821875261</v>
      </c>
      <c r="E127">
        <v>115.71300000000001</v>
      </c>
      <c r="F127">
        <v>41.773014215068478</v>
      </c>
      <c r="G127">
        <v>123.48484999999999</v>
      </c>
      <c r="H127">
        <v>116.67158999999999</v>
      </c>
      <c r="I127">
        <v>103.17613999999999</v>
      </c>
      <c r="J127">
        <v>93.255953333333323</v>
      </c>
      <c r="K127">
        <v>115.82287000000001</v>
      </c>
      <c r="L127">
        <v>81.055090215063899</v>
      </c>
    </row>
    <row r="128" spans="1:12" x14ac:dyDescent="0.2">
      <c r="A128" s="4">
        <v>42186</v>
      </c>
      <c r="B128">
        <v>118.30065333333333</v>
      </c>
      <c r="C128">
        <v>113.93650000000001</v>
      </c>
      <c r="D128">
        <v>3.0210485754016996</v>
      </c>
      <c r="E128">
        <v>117.33466666666668</v>
      </c>
      <c r="F128">
        <v>79.417592793437208</v>
      </c>
      <c r="G128">
        <v>115.90908999999999</v>
      </c>
      <c r="H128">
        <v>117.11225666666667</v>
      </c>
      <c r="I128">
        <v>80.182469999999995</v>
      </c>
      <c r="J128">
        <v>74.82938333333334</v>
      </c>
      <c r="K128">
        <v>116.83879999999999</v>
      </c>
      <c r="L128">
        <v>79.826780361057686</v>
      </c>
    </row>
    <row r="129" spans="1:12" x14ac:dyDescent="0.2">
      <c r="A129" s="4">
        <v>42278</v>
      </c>
      <c r="B129">
        <v>117.32026333333333</v>
      </c>
      <c r="C129">
        <v>114.08749999999999</v>
      </c>
      <c r="D129">
        <v>8.8424751165408555</v>
      </c>
      <c r="E129">
        <v>116.49466666666667</v>
      </c>
      <c r="F129">
        <v>-105.57409711763212</v>
      </c>
      <c r="G129">
        <v>114.39393666666668</v>
      </c>
      <c r="H129">
        <v>117.10339666666668</v>
      </c>
      <c r="I129">
        <v>78.068313333333322</v>
      </c>
      <c r="J129">
        <v>67.628566666666657</v>
      </c>
      <c r="K129">
        <v>117.75010000000002</v>
      </c>
      <c r="L129">
        <v>79.754752259294619</v>
      </c>
    </row>
    <row r="130" spans="1:12" x14ac:dyDescent="0.2">
      <c r="A130" s="4">
        <v>42370</v>
      </c>
      <c r="B130">
        <v>113.72548999999999</v>
      </c>
      <c r="C130">
        <v>114.30900000000001</v>
      </c>
      <c r="D130">
        <v>14.591061831026403</v>
      </c>
      <c r="E130">
        <v>115.48266666666666</v>
      </c>
      <c r="F130">
        <v>135.84337127827783</v>
      </c>
      <c r="G130">
        <v>111.36363666666666</v>
      </c>
      <c r="H130">
        <v>117.03069000000001</v>
      </c>
      <c r="I130">
        <v>91.33502</v>
      </c>
      <c r="J130">
        <v>53.49561666666667</v>
      </c>
      <c r="K130">
        <v>118.67152333333333</v>
      </c>
      <c r="L130">
        <v>79.521803349198095</v>
      </c>
    </row>
    <row r="131" spans="1:12" x14ac:dyDescent="0.2">
      <c r="A131" s="4">
        <v>42461</v>
      </c>
      <c r="B131">
        <v>113.39869333333333</v>
      </c>
      <c r="C131">
        <v>114.072</v>
      </c>
      <c r="D131">
        <v>15.338971994468372</v>
      </c>
      <c r="E131">
        <v>115.56666666666666</v>
      </c>
      <c r="F131">
        <v>27.741053147473679</v>
      </c>
      <c r="G131">
        <v>112.12121333333334</v>
      </c>
      <c r="H131">
        <v>117.96668333333332</v>
      </c>
      <c r="I131">
        <v>112.63046666666666</v>
      </c>
      <c r="J131">
        <v>73.201139999999995</v>
      </c>
      <c r="K131">
        <v>119.49169333333333</v>
      </c>
      <c r="L131">
        <v>79.128531651767375</v>
      </c>
    </row>
    <row r="132" spans="1:12" x14ac:dyDescent="0.2">
      <c r="A132" s="4">
        <v>42552</v>
      </c>
      <c r="B132">
        <v>116.01306999999998</v>
      </c>
      <c r="C132">
        <v>113.57166666666667</v>
      </c>
      <c r="D132">
        <v>18.092768594851133</v>
      </c>
      <c r="E132">
        <v>115.93133333333333</v>
      </c>
      <c r="F132">
        <v>9.8272729244907158</v>
      </c>
      <c r="G132">
        <v>111.36363666666666</v>
      </c>
      <c r="H132">
        <v>118.46742333333334</v>
      </c>
      <c r="I132">
        <v>94.550640000000001</v>
      </c>
      <c r="J132">
        <v>72.303723333333323</v>
      </c>
      <c r="K132">
        <v>120.39962333333334</v>
      </c>
      <c r="L132">
        <v>78.844424863330531</v>
      </c>
    </row>
    <row r="133" spans="1:12" x14ac:dyDescent="0.2">
      <c r="A133" s="4">
        <v>42644</v>
      </c>
      <c r="B133">
        <v>117.64706</v>
      </c>
      <c r="C133">
        <v>113.4335</v>
      </c>
      <c r="D133">
        <v>14.096968157965263</v>
      </c>
      <c r="E133">
        <v>116.49900000000001</v>
      </c>
      <c r="F133">
        <v>-75.269833052333027</v>
      </c>
      <c r="G133">
        <v>108.33333333333333</v>
      </c>
      <c r="H133">
        <v>119.21943333333333</v>
      </c>
      <c r="I133">
        <v>79.681169999999995</v>
      </c>
      <c r="J133">
        <v>79.21435666666666</v>
      </c>
      <c r="K133">
        <v>121.30417333333332</v>
      </c>
      <c r="L133">
        <v>78.30459741829749</v>
      </c>
    </row>
    <row r="134" spans="1:12" x14ac:dyDescent="0.2">
      <c r="A134" s="4">
        <v>42736</v>
      </c>
      <c r="B134">
        <v>112.74509666666665</v>
      </c>
      <c r="C134">
        <v>114.14299999999999</v>
      </c>
      <c r="D134">
        <v>17.517369280568786</v>
      </c>
      <c r="E134">
        <v>117.18433333333333</v>
      </c>
      <c r="F134">
        <v>83.687395515179347</v>
      </c>
      <c r="G134">
        <v>103.78787666666666</v>
      </c>
      <c r="H134">
        <v>120.05843</v>
      </c>
      <c r="I134">
        <v>105.70400666666667</v>
      </c>
      <c r="J134">
        <v>83.454246666666663</v>
      </c>
      <c r="K134">
        <v>122.24247000000001</v>
      </c>
      <c r="L134">
        <v>77.406862691743797</v>
      </c>
    </row>
    <row r="135" spans="1:12" x14ac:dyDescent="0.2">
      <c r="A135" s="4">
        <v>42826</v>
      </c>
      <c r="B135">
        <v>104.24836666666666</v>
      </c>
      <c r="C135">
        <v>114.23049999999999</v>
      </c>
      <c r="D135">
        <v>21.929121394971542</v>
      </c>
      <c r="E135">
        <v>117.90266666666666</v>
      </c>
      <c r="F135">
        <v>-63.602260745529044</v>
      </c>
      <c r="G135">
        <v>99.242423333333321</v>
      </c>
      <c r="H135">
        <v>120.19694666666668</v>
      </c>
      <c r="I135">
        <v>68.043979999999991</v>
      </c>
      <c r="J135">
        <v>77.768820000000005</v>
      </c>
      <c r="K135">
        <v>123.18415</v>
      </c>
      <c r="L135">
        <v>77.200138524160266</v>
      </c>
    </row>
    <row r="136" spans="1:12" x14ac:dyDescent="0.2">
      <c r="A136" s="4">
        <v>42917</v>
      </c>
      <c r="B136">
        <v>103.26797333333333</v>
      </c>
      <c r="C136">
        <v>114.11116666666668</v>
      </c>
      <c r="D136">
        <v>23.897002965441246</v>
      </c>
      <c r="E136">
        <v>118.33233333333334</v>
      </c>
      <c r="F136">
        <v>-70.427274516292542</v>
      </c>
      <c r="G136">
        <v>98.48484666666667</v>
      </c>
      <c r="H136">
        <v>120.77154</v>
      </c>
      <c r="I136">
        <v>88.876466666666659</v>
      </c>
      <c r="J136">
        <v>77.645226666666659</v>
      </c>
      <c r="K136">
        <v>124.08532666666667</v>
      </c>
      <c r="L136">
        <v>75.552544627063597</v>
      </c>
    </row>
    <row r="137" spans="1:12" x14ac:dyDescent="0.2">
      <c r="A137" s="4">
        <v>43009</v>
      </c>
      <c r="B137">
        <v>107.51634000000001</v>
      </c>
      <c r="C137">
        <v>113.87133333333334</v>
      </c>
      <c r="D137">
        <v>32.395412518503171</v>
      </c>
      <c r="E137">
        <v>118.28766666666667</v>
      </c>
      <c r="F137">
        <v>-18.619610434930092</v>
      </c>
      <c r="G137">
        <v>94.696973333333332</v>
      </c>
      <c r="H137">
        <v>121.73231333333332</v>
      </c>
      <c r="I137">
        <v>95.407203333333328</v>
      </c>
      <c r="J137">
        <v>89.257886666666664</v>
      </c>
      <c r="K137">
        <v>124.973</v>
      </c>
      <c r="L137">
        <v>63.43115158403711</v>
      </c>
    </row>
    <row r="138" spans="1:12" x14ac:dyDescent="0.2">
      <c r="A138" s="4">
        <v>43101</v>
      </c>
      <c r="B138">
        <v>99.673199999999994</v>
      </c>
      <c r="C138">
        <v>113.37466666666667</v>
      </c>
      <c r="D138">
        <v>41.673454024377371</v>
      </c>
      <c r="E138">
        <v>119.11033333333334</v>
      </c>
      <c r="F138">
        <v>-25.51913743467173</v>
      </c>
      <c r="G138">
        <v>91.666666666666671</v>
      </c>
      <c r="H138">
        <v>122.75808333333333</v>
      </c>
      <c r="I138">
        <v>99.615250000000003</v>
      </c>
      <c r="J138">
        <v>101.38105333333333</v>
      </c>
      <c r="K138">
        <v>125.94842666666666</v>
      </c>
      <c r="L138">
        <v>74.27410891974823</v>
      </c>
    </row>
    <row r="139" spans="1:12" x14ac:dyDescent="0.2">
      <c r="A139" s="4">
        <v>43191</v>
      </c>
      <c r="B139">
        <v>92.810456666666667</v>
      </c>
      <c r="C139">
        <v>113.46466666666667</v>
      </c>
      <c r="D139">
        <v>51.271914604446572</v>
      </c>
      <c r="E139">
        <v>119.306</v>
      </c>
      <c r="F139">
        <v>-39.556619731381822</v>
      </c>
      <c r="G139">
        <v>89.393940000000001</v>
      </c>
      <c r="H139">
        <v>123.42639000000001</v>
      </c>
      <c r="I139">
        <v>104.51677000000001</v>
      </c>
      <c r="J139">
        <v>109.67811333333333</v>
      </c>
      <c r="K139">
        <v>126.96773</v>
      </c>
      <c r="L139">
        <v>77.179478100415835</v>
      </c>
    </row>
    <row r="140" spans="1:12" x14ac:dyDescent="0.2">
      <c r="A140" s="4">
        <v>43282</v>
      </c>
      <c r="B140">
        <v>85.620913333333348</v>
      </c>
      <c r="C140">
        <v>114.15966666666668</v>
      </c>
      <c r="D140">
        <v>57.790690897355113</v>
      </c>
      <c r="E140">
        <v>119.90066666666667</v>
      </c>
      <c r="F140">
        <v>-11.577567011895733</v>
      </c>
      <c r="G140">
        <v>85.606063333333339</v>
      </c>
      <c r="H140">
        <v>123.92237</v>
      </c>
      <c r="I140">
        <v>82.453536666666665</v>
      </c>
      <c r="J140">
        <v>112.45633666666667</v>
      </c>
      <c r="K140">
        <v>127.91953666666666</v>
      </c>
      <c r="L140">
        <v>77.853839299268444</v>
      </c>
    </row>
    <row r="141" spans="1:12" x14ac:dyDescent="0.2">
      <c r="A141" s="4">
        <v>43374</v>
      </c>
      <c r="B141">
        <v>81.699346666666671</v>
      </c>
      <c r="C141">
        <v>113.95616666666666</v>
      </c>
      <c r="D141">
        <v>61.090253436935619</v>
      </c>
      <c r="E141">
        <v>119.17100000000001</v>
      </c>
      <c r="F141">
        <v>-59.883286515690379</v>
      </c>
      <c r="G141">
        <v>87.121213333333344</v>
      </c>
      <c r="H141">
        <v>124.42688666666668</v>
      </c>
      <c r="I141">
        <v>113.02691333333333</v>
      </c>
      <c r="J141">
        <v>95.238863333333327</v>
      </c>
      <c r="K141">
        <v>128.69920333333334</v>
      </c>
      <c r="L141">
        <v>77.122809156872904</v>
      </c>
    </row>
    <row r="142" spans="1:12" x14ac:dyDescent="0.2">
      <c r="A142" s="4">
        <v>43466</v>
      </c>
      <c r="B142">
        <v>84.640526666666673</v>
      </c>
      <c r="C142">
        <v>113.60183333333333</v>
      </c>
      <c r="D142">
        <v>55.542436318951736</v>
      </c>
      <c r="E142">
        <v>118.46566666666668</v>
      </c>
      <c r="F142">
        <v>60.140840951923735</v>
      </c>
      <c r="G142">
        <v>87.878790000000023</v>
      </c>
      <c r="H142">
        <v>124.75906666666667</v>
      </c>
      <c r="I142">
        <v>111.02437999999999</v>
      </c>
      <c r="J142">
        <v>88.387339999999995</v>
      </c>
      <c r="K142">
        <v>129.52612333333335</v>
      </c>
      <c r="L142">
        <v>76.944208079118312</v>
      </c>
    </row>
    <row r="143" spans="1:12" x14ac:dyDescent="0.2">
      <c r="A143" s="4">
        <v>43556</v>
      </c>
      <c r="B143">
        <v>79.084966666666674</v>
      </c>
      <c r="C143">
        <v>113.92685</v>
      </c>
      <c r="D143">
        <v>48.32383722363253</v>
      </c>
      <c r="E143">
        <v>119.9597</v>
      </c>
      <c r="F143">
        <v>150.35797836195394</v>
      </c>
      <c r="G143">
        <v>82.575756666666663</v>
      </c>
      <c r="H143">
        <v>125.67569666666667</v>
      </c>
      <c r="I143">
        <v>102.13367333333333</v>
      </c>
      <c r="J143">
        <v>96.378096666666679</v>
      </c>
      <c r="K143">
        <v>130.51842666666667</v>
      </c>
      <c r="L143">
        <v>76.616219837222545</v>
      </c>
    </row>
    <row r="144" spans="1:12" x14ac:dyDescent="0.2">
      <c r="A144" s="4">
        <v>43647</v>
      </c>
      <c r="B144">
        <v>76.14379000000001</v>
      </c>
      <c r="C144">
        <v>113.80746666666668</v>
      </c>
      <c r="D144">
        <v>46.156569596987396</v>
      </c>
      <c r="E144">
        <v>120.18810000000001</v>
      </c>
      <c r="F144">
        <v>-64.703388918165146</v>
      </c>
      <c r="G144">
        <v>81.818179999999998</v>
      </c>
      <c r="H144">
        <v>126.09026666666666</v>
      </c>
      <c r="I144">
        <v>101.88841333333333</v>
      </c>
      <c r="J144">
        <v>90.875380000000007</v>
      </c>
      <c r="K144">
        <v>131.35210000000001</v>
      </c>
      <c r="L144">
        <v>75.643189214620534</v>
      </c>
    </row>
    <row r="145" spans="1:12" x14ac:dyDescent="0.2">
      <c r="A145" s="4">
        <v>43739</v>
      </c>
      <c r="B145">
        <v>85.294116666666682</v>
      </c>
      <c r="C145">
        <v>114.26401666666668</v>
      </c>
      <c r="D145">
        <v>45.239846979074166</v>
      </c>
      <c r="E145">
        <v>119.46980000000001</v>
      </c>
      <c r="F145">
        <v>-43.02031735272837</v>
      </c>
      <c r="G145">
        <v>81.818179999999998</v>
      </c>
      <c r="H145">
        <v>126.97587333333333</v>
      </c>
      <c r="I145">
        <v>103.63673666666666</v>
      </c>
      <c r="J145">
        <v>91.821163333333331</v>
      </c>
      <c r="K145">
        <v>132.15876666666665</v>
      </c>
      <c r="L145">
        <v>76.765276302606637</v>
      </c>
    </row>
    <row r="146" spans="1:12" x14ac:dyDescent="0.2">
      <c r="A146" s="4">
        <v>43831</v>
      </c>
      <c r="B146">
        <v>88.997824443333329</v>
      </c>
      <c r="C146">
        <v>114.35586666666666</v>
      </c>
      <c r="D146">
        <v>38.804229240060572</v>
      </c>
      <c r="E146">
        <v>119.18430000000001</v>
      </c>
      <c r="F146">
        <v>522.39728012246735</v>
      </c>
      <c r="G146">
        <v>87.121210000000005</v>
      </c>
      <c r="H146">
        <v>127.43361333333333</v>
      </c>
      <c r="I146">
        <v>115.67370666666666</v>
      </c>
      <c r="J146">
        <v>73.765379999999993</v>
      </c>
      <c r="K146">
        <v>132.70217333333335</v>
      </c>
      <c r="L146">
        <v>76.581006253117835</v>
      </c>
    </row>
    <row r="147" spans="1:12" x14ac:dyDescent="0.2">
      <c r="A147" s="4">
        <v>43922</v>
      </c>
      <c r="B147">
        <v>85.511982219999993</v>
      </c>
      <c r="C147">
        <v>114.38708333333334</v>
      </c>
      <c r="D147">
        <v>26.132006090851402</v>
      </c>
      <c r="E147">
        <v>118.79133333333334</v>
      </c>
      <c r="F147">
        <v>-10.270485986750071</v>
      </c>
      <c r="G147">
        <v>295.45454666666666</v>
      </c>
      <c r="H147">
        <v>126.19005333333332</v>
      </c>
      <c r="I147">
        <v>84.560690000000008</v>
      </c>
      <c r="J147">
        <v>44.827773333333333</v>
      </c>
      <c r="K147">
        <v>119.21493333333335</v>
      </c>
      <c r="L147">
        <v>70.981113746811332</v>
      </c>
    </row>
    <row r="148" spans="1:12" x14ac:dyDescent="0.2">
      <c r="A148" s="4">
        <v>44013</v>
      </c>
      <c r="B148">
        <v>82.026146666666662</v>
      </c>
      <c r="C148">
        <v>114.75355</v>
      </c>
      <c r="D148">
        <v>20.880262957346954</v>
      </c>
      <c r="E148">
        <v>118.59009999999999</v>
      </c>
      <c r="F148">
        <v>-23.015226208676534</v>
      </c>
      <c r="G148">
        <v>200</v>
      </c>
      <c r="H148">
        <v>127.63253000000002</v>
      </c>
      <c r="I148">
        <v>87.989603333333321</v>
      </c>
      <c r="J148">
        <v>65.925086666666672</v>
      </c>
      <c r="K148">
        <v>123.37316</v>
      </c>
      <c r="L148">
        <v>74.816658165054875</v>
      </c>
    </row>
    <row r="149" spans="1:12" x14ac:dyDescent="0.2">
      <c r="A149" s="4">
        <v>44105</v>
      </c>
      <c r="B149">
        <v>90.19607666666667</v>
      </c>
      <c r="C149">
        <v>114.65893333333332</v>
      </c>
      <c r="D149">
        <v>11.588420899306458</v>
      </c>
      <c r="E149">
        <v>119.05686666666668</v>
      </c>
      <c r="F149">
        <v>-19.754360451897991</v>
      </c>
      <c r="G149">
        <v>153.78788</v>
      </c>
      <c r="H149">
        <v>128.55325666666667</v>
      </c>
      <c r="I149">
        <v>57.775903333333332</v>
      </c>
      <c r="J149">
        <v>68.44</v>
      </c>
      <c r="K149">
        <v>126.04968333333333</v>
      </c>
      <c r="L149">
        <v>75.914408232858307</v>
      </c>
    </row>
    <row r="150" spans="1:12" x14ac:dyDescent="0.2">
      <c r="A150" s="4">
        <v>44197</v>
      </c>
      <c r="B150">
        <v>83.986926666666662</v>
      </c>
      <c r="C150">
        <v>116.38416666666667</v>
      </c>
      <c r="D150">
        <v>-1.4137708688904915</v>
      </c>
      <c r="E150">
        <v>119.81133333333332</v>
      </c>
      <c r="F150">
        <v>-8.8134397164895173</v>
      </c>
      <c r="G150">
        <v>141.66666666666666</v>
      </c>
      <c r="H150">
        <v>129.85836</v>
      </c>
      <c r="I150">
        <v>72.049476666666678</v>
      </c>
      <c r="J150">
        <v>93.164596666666668</v>
      </c>
      <c r="K150">
        <v>127.64277</v>
      </c>
      <c r="L150">
        <v>76.954996143176928</v>
      </c>
    </row>
    <row r="151" spans="1:12" x14ac:dyDescent="0.2">
      <c r="A151" s="4">
        <v>44287</v>
      </c>
      <c r="B151">
        <v>80.065356666666673</v>
      </c>
      <c r="C151">
        <v>116.8385</v>
      </c>
      <c r="D151">
        <v>-5.9480306714028215</v>
      </c>
      <c r="E151">
        <v>121.003</v>
      </c>
      <c r="F151">
        <v>-44.032593346024271</v>
      </c>
      <c r="G151">
        <v>134.84848333333335</v>
      </c>
      <c r="H151">
        <v>132.22567000000001</v>
      </c>
      <c r="I151">
        <v>115.45402999999999</v>
      </c>
      <c r="J151">
        <v>106.54522000000001</v>
      </c>
      <c r="K151">
        <v>129.40124333333333</v>
      </c>
      <c r="L151">
        <v>76.315222549896191</v>
      </c>
    </row>
    <row r="152" spans="1:12" x14ac:dyDescent="0.2">
      <c r="A152" s="4">
        <v>44378</v>
      </c>
      <c r="B152">
        <v>80.392156666666665</v>
      </c>
      <c r="C152">
        <v>117.76150000000001</v>
      </c>
      <c r="D152">
        <v>2.7115971181641765</v>
      </c>
      <c r="E152">
        <v>122.43033333333334</v>
      </c>
      <c r="F152">
        <v>-23.565316043688501</v>
      </c>
      <c r="G152">
        <v>115.15151333333334</v>
      </c>
      <c r="H152">
        <v>134.33268000000001</v>
      </c>
      <c r="I152">
        <v>151.44888333333336</v>
      </c>
      <c r="J152">
        <v>113.85350999999999</v>
      </c>
      <c r="K152">
        <v>131.774</v>
      </c>
      <c r="L152">
        <v>75.346771851140076</v>
      </c>
    </row>
    <row r="153" spans="1:12" x14ac:dyDescent="0.2">
      <c r="A153" s="4">
        <v>44470</v>
      </c>
      <c r="B153">
        <v>69.281043333333329</v>
      </c>
      <c r="C153">
        <v>118.99366666666667</v>
      </c>
      <c r="D153">
        <v>10.214064858443672</v>
      </c>
      <c r="E153">
        <v>123.84433333333332</v>
      </c>
      <c r="F153">
        <v>-93.099024706214209</v>
      </c>
      <c r="G153">
        <v>94.696970000000007</v>
      </c>
      <c r="H153">
        <v>137.25816333333333</v>
      </c>
      <c r="I153">
        <v>212.05440999999999</v>
      </c>
      <c r="J153">
        <v>124.85356666666665</v>
      </c>
      <c r="K153">
        <v>134.07249999999999</v>
      </c>
      <c r="L153">
        <v>77.30226442177144</v>
      </c>
    </row>
    <row r="154" spans="1:12" x14ac:dyDescent="0.2">
      <c r="A154" s="4">
        <v>44562</v>
      </c>
      <c r="B154">
        <v>61.764706666666662</v>
      </c>
      <c r="C154">
        <v>120.65766666666667</v>
      </c>
      <c r="D154">
        <v>39.035472546399582</v>
      </c>
      <c r="E154">
        <v>125.447</v>
      </c>
      <c r="F154">
        <v>-181.08393359202094</v>
      </c>
      <c r="G154">
        <v>87.87878666666667</v>
      </c>
      <c r="H154">
        <v>140.27851666666666</v>
      </c>
      <c r="I154">
        <v>231.07331666666667</v>
      </c>
      <c r="J154">
        <v>152.27040666666664</v>
      </c>
      <c r="K154">
        <v>135.86134666666666</v>
      </c>
      <c r="L154">
        <v>79.130627341954764</v>
      </c>
    </row>
    <row r="155" spans="1:12" x14ac:dyDescent="0.2">
      <c r="A155" s="4">
        <v>44652</v>
      </c>
      <c r="B155">
        <v>57.843139999999998</v>
      </c>
      <c r="C155">
        <v>123.30078050064999</v>
      </c>
      <c r="D155">
        <v>73.272186836864535</v>
      </c>
      <c r="E155">
        <v>128.96673333333334</v>
      </c>
      <c r="F155">
        <v>-90.89308435403079</v>
      </c>
      <c r="G155">
        <v>82.575756666666663</v>
      </c>
      <c r="H155">
        <v>143.57722000000001</v>
      </c>
      <c r="I155">
        <v>271.59774666666664</v>
      </c>
      <c r="J155">
        <v>175.27540333333332</v>
      </c>
      <c r="K155">
        <v>137.39705666666666</v>
      </c>
      <c r="L155">
        <v>79.018465113287064</v>
      </c>
    </row>
    <row r="156" spans="1:12" x14ac:dyDescent="0.2">
      <c r="A156" s="4">
        <v>44743</v>
      </c>
      <c r="B156">
        <v>57.189546666666665</v>
      </c>
      <c r="C156">
        <v>124.3565</v>
      </c>
      <c r="D156">
        <v>94.225868446681019</v>
      </c>
      <c r="E156">
        <v>130.50633333333334</v>
      </c>
      <c r="F156">
        <v>-186.4465031159441</v>
      </c>
      <c r="G156">
        <v>80.303026666666668</v>
      </c>
      <c r="H156">
        <v>145.47169</v>
      </c>
      <c r="I156">
        <v>265.20339999999999</v>
      </c>
      <c r="J156">
        <v>150.22301333333334</v>
      </c>
      <c r="K156">
        <v>138.76400666666666</v>
      </c>
      <c r="L156">
        <v>78.648404828691142</v>
      </c>
    </row>
    <row r="157" spans="1:12" x14ac:dyDescent="0.2">
      <c r="A157" s="4">
        <v>44835</v>
      </c>
      <c r="B157">
        <v>58.823529999999998</v>
      </c>
      <c r="C157">
        <v>125.39999999999999</v>
      </c>
      <c r="D157">
        <v>122.9888227583386</v>
      </c>
      <c r="E157">
        <v>131.64166666666668</v>
      </c>
      <c r="F157">
        <v>-15.312234824983193</v>
      </c>
      <c r="G157">
        <v>81.060603333333333</v>
      </c>
      <c r="H157">
        <v>146.99244999999999</v>
      </c>
      <c r="I157">
        <v>232.45998666666665</v>
      </c>
      <c r="J157">
        <v>133.4623</v>
      </c>
      <c r="K157">
        <v>139.95544666666669</v>
      </c>
      <c r="L157">
        <v>78.550694731698513</v>
      </c>
    </row>
    <row r="158" spans="1:12" x14ac:dyDescent="0.2">
      <c r="A158" s="4">
        <v>44927</v>
      </c>
      <c r="B158">
        <v>58.823529999999998</v>
      </c>
      <c r="C158">
        <v>127.24676666666666</v>
      </c>
      <c r="D158">
        <v>122.13026809185902</v>
      </c>
      <c r="E158">
        <v>132.41249999999999</v>
      </c>
      <c r="F158">
        <v>43.833666685680875</v>
      </c>
      <c r="G158">
        <v>80.303026666666668</v>
      </c>
      <c r="H158">
        <v>148.31626333333335</v>
      </c>
      <c r="I158">
        <v>228.94542000000001</v>
      </c>
      <c r="J158">
        <v>122.64495666666666</v>
      </c>
      <c r="K158">
        <v>141.08613333333332</v>
      </c>
      <c r="L158">
        <v>80.077120345561013</v>
      </c>
    </row>
    <row r="159" spans="1:12" x14ac:dyDescent="0.2">
      <c r="A159" s="4">
        <v>45017</v>
      </c>
      <c r="B159">
        <v>60.130716666666665</v>
      </c>
      <c r="C159">
        <v>128.73211666666666</v>
      </c>
      <c r="D159">
        <v>122.84952368619379</v>
      </c>
      <c r="E159">
        <v>133.16353333333333</v>
      </c>
      <c r="F159">
        <v>-166.59119338441522</v>
      </c>
      <c r="G159">
        <v>80.303029999999993</v>
      </c>
      <c r="H159">
        <v>149.38338999999999</v>
      </c>
      <c r="I159">
        <v>177.27005</v>
      </c>
      <c r="J159">
        <v>118.91020666666667</v>
      </c>
      <c r="K159">
        <v>142.09194000000002</v>
      </c>
      <c r="L159">
        <v>81.000517905376213</v>
      </c>
    </row>
    <row r="160" spans="1:12" x14ac:dyDescent="0.2">
      <c r="A160" s="4">
        <v>45108</v>
      </c>
      <c r="B160">
        <v>57.189543333333326</v>
      </c>
      <c r="C160">
        <v>130.33250000000001</v>
      </c>
      <c r="D160">
        <v>136.43074781769954</v>
      </c>
      <c r="E160">
        <v>134.25333333333333</v>
      </c>
      <c r="F160">
        <v>-130.17830439511187</v>
      </c>
      <c r="G160">
        <v>82.575756666666663</v>
      </c>
      <c r="H160">
        <v>150.65928</v>
      </c>
      <c r="I160">
        <v>159.11134000000001</v>
      </c>
      <c r="J160">
        <v>132.67236</v>
      </c>
      <c r="K160">
        <v>143.03024000000002</v>
      </c>
      <c r="L160">
        <v>81.629895002912107</v>
      </c>
    </row>
    <row r="161" spans="1:12" x14ac:dyDescent="0.2">
      <c r="A161" s="4">
        <v>45200</v>
      </c>
      <c r="B161">
        <v>55.228756666666669</v>
      </c>
      <c r="C161">
        <v>130.45916666666668</v>
      </c>
      <c r="D161">
        <v>127.90057761901738</v>
      </c>
      <c r="E161">
        <v>134.53266666666667</v>
      </c>
      <c r="F161">
        <v>113.54457110444093</v>
      </c>
      <c r="G161">
        <v>86.363636666666665</v>
      </c>
      <c r="H161">
        <v>151.74544333333333</v>
      </c>
      <c r="I161">
        <v>178.52950333333334</v>
      </c>
      <c r="J161">
        <v>126.40658000000001</v>
      </c>
      <c r="K161">
        <v>143.89766333333333</v>
      </c>
      <c r="L161">
        <v>82.090265736886508</v>
      </c>
    </row>
    <row r="162" spans="1:12" x14ac:dyDescent="0.2">
      <c r="A162" s="4">
        <v>45292</v>
      </c>
      <c r="B162">
        <v>57.516343333333332</v>
      </c>
      <c r="C162">
        <v>131.49033333333333</v>
      </c>
      <c r="D162">
        <v>117.37339496869548</v>
      </c>
      <c r="E162">
        <v>135.32133333333331</v>
      </c>
      <c r="F162">
        <v>0</v>
      </c>
      <c r="G162">
        <v>87.121209999999977</v>
      </c>
      <c r="H162">
        <v>153.12818000000001</v>
      </c>
      <c r="I162">
        <v>180.88361</v>
      </c>
      <c r="J162">
        <v>125.03627</v>
      </c>
      <c r="K162">
        <v>144.81908999999999</v>
      </c>
      <c r="L162">
        <v>82.103554623744856</v>
      </c>
    </row>
    <row r="163" spans="1:12" x14ac:dyDescent="0.2">
      <c r="A163" s="4">
        <v>45383</v>
      </c>
      <c r="B163">
        <v>56.862746666666659</v>
      </c>
      <c r="C163">
        <v>132.46833333333333</v>
      </c>
      <c r="D163">
        <v>122.49877398237277</v>
      </c>
      <c r="E163">
        <v>136.39099999999999</v>
      </c>
      <c r="F163">
        <v>0</v>
      </c>
      <c r="G163">
        <v>90.151513333333341</v>
      </c>
      <c r="H163">
        <v>154.15099333333333</v>
      </c>
      <c r="I163">
        <v>110.47622666666666</v>
      </c>
      <c r="J163">
        <v>131.73195666666666</v>
      </c>
      <c r="K163">
        <v>145.72363666666666</v>
      </c>
      <c r="L163">
        <v>81.804721454849513</v>
      </c>
    </row>
    <row r="164" spans="1:12" x14ac:dyDescent="0.2">
      <c r="A164" s="4">
        <v>45474</v>
      </c>
      <c r="B164">
        <v>53.921570000000003</v>
      </c>
      <c r="C164">
        <v>133.619</v>
      </c>
      <c r="D164">
        <v>103.05026634956164</v>
      </c>
      <c r="E164">
        <v>136.64266666666666</v>
      </c>
      <c r="F164">
        <v>0</v>
      </c>
      <c r="G164">
        <v>94.696973333333332</v>
      </c>
      <c r="H164">
        <v>154.66322000000002</v>
      </c>
      <c r="I164">
        <v>126.87222666666666</v>
      </c>
      <c r="J164">
        <v>122.90826666666665</v>
      </c>
      <c r="K164">
        <v>146.52356</v>
      </c>
      <c r="L164">
        <v>81.735656521167655</v>
      </c>
    </row>
    <row r="165" spans="1:12" x14ac:dyDescent="0.2">
      <c r="A165" s="4">
        <v>45566</v>
      </c>
      <c r="B165">
        <v>52.941180000000003</v>
      </c>
      <c r="C165">
        <v>133.6997666666667</v>
      </c>
      <c r="D165">
        <v>99.307658828762499</v>
      </c>
      <c r="E165">
        <v>136.77706666666668</v>
      </c>
      <c r="F165">
        <v>0</v>
      </c>
      <c r="G165">
        <v>93.939396666666667</v>
      </c>
      <c r="H165">
        <v>155.87773000000001</v>
      </c>
      <c r="I165">
        <v>129.98571999999999</v>
      </c>
      <c r="J165">
        <v>113.95561666666667</v>
      </c>
      <c r="K165">
        <v>147.48211000000001</v>
      </c>
      <c r="L165">
        <v>81.050502461820557</v>
      </c>
    </row>
    <row r="166" spans="1:12" x14ac:dyDescent="0.2">
      <c r="A166" s="4">
        <v>45658</v>
      </c>
      <c r="B166">
        <v>53.267976666666669</v>
      </c>
      <c r="C166">
        <v>134.13283333333334</v>
      </c>
      <c r="D166">
        <v>96.040790923784996</v>
      </c>
      <c r="E166">
        <v>137.19356666666667</v>
      </c>
      <c r="F166">
        <v>0</v>
      </c>
      <c r="G166">
        <v>93.939396666666667</v>
      </c>
      <c r="H166">
        <v>157.29935666666665</v>
      </c>
      <c r="I166">
        <v>138.25050333333334</v>
      </c>
      <c r="J166">
        <v>115.80955333333333</v>
      </c>
      <c r="K166">
        <v>148.45753999999999</v>
      </c>
      <c r="L166">
        <v>81.344095360307577</v>
      </c>
    </row>
    <row r="167" spans="1:12" x14ac:dyDescent="0.2">
      <c r="A167" s="4">
        <v>45748</v>
      </c>
      <c r="B167">
        <v>53.921570000000003</v>
      </c>
      <c r="C167">
        <v>134.85391666666666</v>
      </c>
      <c r="D167">
        <v>85.056225347201192</v>
      </c>
      <c r="E167">
        <v>137.79750000000001</v>
      </c>
      <c r="F167">
        <v>0</v>
      </c>
      <c r="G167">
        <v>95.454546666666673</v>
      </c>
      <c r="H167">
        <v>157.94469000000001</v>
      </c>
      <c r="I167">
        <v>130.79152333333334</v>
      </c>
      <c r="J167">
        <v>104.18615</v>
      </c>
      <c r="K167">
        <v>149.28783666666666</v>
      </c>
      <c r="L167">
        <v>81.24428357564085</v>
      </c>
    </row>
    <row r="168" spans="1:12" x14ac:dyDescent="0.2">
      <c r="A168" s="4">
        <v>45839</v>
      </c>
      <c r="B168">
        <v>54.901960000000003</v>
      </c>
      <c r="C168">
        <v>136.66816666666668</v>
      </c>
      <c r="D168">
        <v>79.203863305198112</v>
      </c>
      <c r="E168">
        <v>138.75416666666663</v>
      </c>
      <c r="F168">
        <v>0</v>
      </c>
      <c r="G168">
        <v>98.48484666666667</v>
      </c>
      <c r="H168">
        <v>159.15066666666667</v>
      </c>
      <c r="I168">
        <v>113.48688</v>
      </c>
      <c r="J168">
        <v>105.97560333333332</v>
      </c>
      <c r="K168">
        <v>149.86499333333333</v>
      </c>
      <c r="L168">
        <v>81.527816652301979</v>
      </c>
    </row>
    <row r="169" spans="1:12" x14ac:dyDescent="0.2">
      <c r="A169" s="4">
        <v>45931</v>
      </c>
      <c r="B169">
        <v>55.882350000000002</v>
      </c>
      <c r="C169">
        <v>138.35865000000001</v>
      </c>
      <c r="D169">
        <v>73.492851773363171</v>
      </c>
      <c r="E169">
        <v>139.49099999999999</v>
      </c>
      <c r="F169">
        <v>0</v>
      </c>
      <c r="G169">
        <v>101.136365</v>
      </c>
      <c r="H169">
        <v>160.28901999999999</v>
      </c>
      <c r="I169">
        <v>72.613123333333334</v>
      </c>
      <c r="J169">
        <v>96.147026666666662</v>
      </c>
      <c r="K169">
        <v>150.33752000000001</v>
      </c>
      <c r="L169">
        <v>81.599854263625858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7D0A-28BB-DB4D-B042-330A12201C7C}">
  <dimension ref="A1:L73"/>
  <sheetViews>
    <sheetView tabSelected="1" workbookViewId="0">
      <selection activeCell="L74" sqref="L74:L82"/>
    </sheetView>
  </sheetViews>
  <sheetFormatPr baseColWidth="10" defaultRowHeight="16" x14ac:dyDescent="0.2"/>
  <cols>
    <col min="1" max="1" width="22.6640625" bestFit="1" customWidth="1"/>
  </cols>
  <sheetData>
    <row r="1" spans="1:12" x14ac:dyDescent="0.2">
      <c r="A1" s="1" t="s">
        <v>0</v>
      </c>
      <c r="B1" s="1" t="s">
        <v>12</v>
      </c>
      <c r="C1" s="1" t="s">
        <v>15</v>
      </c>
      <c r="D1" s="1" t="s">
        <v>10</v>
      </c>
      <c r="E1" s="1" t="s">
        <v>17</v>
      </c>
      <c r="F1" s="1" t="s">
        <v>21</v>
      </c>
      <c r="G1" s="1" t="s">
        <v>25</v>
      </c>
      <c r="H1" s="1" t="s">
        <v>26</v>
      </c>
      <c r="I1" s="1" t="s">
        <v>27</v>
      </c>
      <c r="J1" s="1" t="s">
        <v>36</v>
      </c>
      <c r="K1" s="1" t="s">
        <v>42</v>
      </c>
      <c r="L1" s="1" t="s">
        <v>44</v>
      </c>
    </row>
    <row r="2" spans="1:12" x14ac:dyDescent="0.2">
      <c r="A2" s="4">
        <v>38718</v>
      </c>
      <c r="B2">
        <v>104.57516333333335</v>
      </c>
      <c r="C2">
        <v>96.502833333333342</v>
      </c>
      <c r="D2">
        <v>98.104991637342025</v>
      </c>
      <c r="E2">
        <v>95.875</v>
      </c>
      <c r="F2">
        <v>-130.41741086083877</v>
      </c>
      <c r="G2">
        <v>107.57575666666666</v>
      </c>
      <c r="H2">
        <v>98.211063333333342</v>
      </c>
      <c r="I2">
        <v>98.310866666666655</v>
      </c>
      <c r="J2">
        <v>102.12263</v>
      </c>
      <c r="K2">
        <v>97.630620000000008</v>
      </c>
      <c r="L2">
        <v>100.65461563867105</v>
      </c>
    </row>
    <row r="3" spans="1:12" x14ac:dyDescent="0.2">
      <c r="A3" s="4">
        <v>38808</v>
      </c>
      <c r="B3">
        <v>104.90196333333334</v>
      </c>
      <c r="C3">
        <v>96.608333333333334</v>
      </c>
      <c r="D3">
        <v>101.01539812989616</v>
      </c>
      <c r="E3">
        <v>98.025333333333336</v>
      </c>
      <c r="F3">
        <v>-42.913310768909291</v>
      </c>
      <c r="G3">
        <v>105.30302666666667</v>
      </c>
      <c r="H3">
        <v>99.097326666666675</v>
      </c>
      <c r="I3">
        <v>126.88615</v>
      </c>
      <c r="J3">
        <v>113.70304666666665</v>
      </c>
      <c r="K3">
        <v>98.454166666666666</v>
      </c>
      <c r="L3">
        <v>99.960394658220949</v>
      </c>
    </row>
    <row r="4" spans="1:12" x14ac:dyDescent="0.2">
      <c r="A4" s="4">
        <v>38899</v>
      </c>
      <c r="B4">
        <v>105.55555666666667</v>
      </c>
      <c r="C4">
        <v>97.730833333333337</v>
      </c>
      <c r="D4">
        <v>104.23552719478967</v>
      </c>
      <c r="E4">
        <v>99.641666666666652</v>
      </c>
      <c r="F4">
        <v>-4.1637967584577593</v>
      </c>
      <c r="G4">
        <v>105.30302999999999</v>
      </c>
      <c r="H4">
        <v>100.03282666666667</v>
      </c>
      <c r="I4">
        <v>119.62817333333335</v>
      </c>
      <c r="J4">
        <v>113.56332999999999</v>
      </c>
      <c r="K4">
        <v>99.092073333333346</v>
      </c>
      <c r="L4">
        <v>99.373666784561351</v>
      </c>
    </row>
    <row r="5" spans="1:12" x14ac:dyDescent="0.2">
      <c r="A5" s="4">
        <v>38991</v>
      </c>
      <c r="B5">
        <v>100.32679666666667</v>
      </c>
      <c r="C5">
        <v>98.558166666666679</v>
      </c>
      <c r="D5">
        <v>101.55264875990376</v>
      </c>
      <c r="E5">
        <v>98.620999999999995</v>
      </c>
      <c r="F5">
        <v>35.234516566078881</v>
      </c>
      <c r="G5">
        <v>100.75757666666668</v>
      </c>
      <c r="H5">
        <v>99.622516666666669</v>
      </c>
      <c r="I5">
        <v>114.97318333333334</v>
      </c>
      <c r="J5">
        <v>96.877853333333334</v>
      </c>
      <c r="K5">
        <v>99.75023666666668</v>
      </c>
      <c r="L5">
        <v>99.942026555889811</v>
      </c>
    </row>
    <row r="6" spans="1:12" x14ac:dyDescent="0.2">
      <c r="A6" s="4">
        <v>39083</v>
      </c>
      <c r="B6">
        <v>102.28758000000001</v>
      </c>
      <c r="C6">
        <v>100.1305</v>
      </c>
      <c r="D6">
        <v>100.84961667954069</v>
      </c>
      <c r="E6">
        <v>100.48133333333334</v>
      </c>
      <c r="F6">
        <v>116.34126275556918</v>
      </c>
      <c r="G6">
        <v>102.27272666666666</v>
      </c>
      <c r="H6">
        <v>100.59921333333334</v>
      </c>
      <c r="I6">
        <v>123.52222333333333</v>
      </c>
      <c r="J6">
        <v>93.71271999999999</v>
      </c>
      <c r="K6">
        <v>100.46915000000001</v>
      </c>
      <c r="L6">
        <v>99.203517713760462</v>
      </c>
    </row>
    <row r="7" spans="1:12" x14ac:dyDescent="0.2">
      <c r="A7" s="4">
        <v>39173</v>
      </c>
      <c r="B7">
        <v>108.82353000000001</v>
      </c>
      <c r="C7">
        <v>100.28966666666668</v>
      </c>
      <c r="D7">
        <v>98.795809039252447</v>
      </c>
      <c r="E7">
        <v>101.96633333333334</v>
      </c>
      <c r="F7">
        <v>-96.207157536917236</v>
      </c>
      <c r="G7">
        <v>102.27272666666666</v>
      </c>
      <c r="H7">
        <v>101.73855333333331</v>
      </c>
      <c r="I7">
        <v>97.715550000000007</v>
      </c>
      <c r="J7">
        <v>104.73964333333333</v>
      </c>
      <c r="K7">
        <v>101.12731333333333</v>
      </c>
      <c r="L7">
        <v>98.274226173752481</v>
      </c>
    </row>
    <row r="8" spans="1:12" x14ac:dyDescent="0.2">
      <c r="A8" s="4">
        <v>39264</v>
      </c>
      <c r="B8">
        <v>114.05228666666666</v>
      </c>
      <c r="C8">
        <v>100.61949999999997</v>
      </c>
      <c r="D8">
        <v>89.887891876172162</v>
      </c>
      <c r="E8">
        <v>102.41199999999999</v>
      </c>
      <c r="F8">
        <v>255.38392900622611</v>
      </c>
      <c r="G8">
        <v>106.06060333333333</v>
      </c>
      <c r="H8">
        <v>102.38256999999999</v>
      </c>
      <c r="I8">
        <v>106.61042000000002</v>
      </c>
      <c r="J8">
        <v>121.7153</v>
      </c>
      <c r="K8">
        <v>101.51208000000001</v>
      </c>
      <c r="L8">
        <v>98.386168956022871</v>
      </c>
    </row>
    <row r="9" spans="1:12" x14ac:dyDescent="0.2">
      <c r="A9" s="4">
        <v>39356</v>
      </c>
      <c r="B9">
        <v>112.4183</v>
      </c>
      <c r="C9">
        <v>101.26283333333333</v>
      </c>
      <c r="D9">
        <v>68.957376440406691</v>
      </c>
      <c r="E9">
        <v>103.883</v>
      </c>
      <c r="F9">
        <v>-216.44870683354972</v>
      </c>
      <c r="G9">
        <v>109.09090666666667</v>
      </c>
      <c r="H9">
        <v>103.63843666666666</v>
      </c>
      <c r="I9">
        <v>120.98666666666666</v>
      </c>
      <c r="J9">
        <v>146.46138999999997</v>
      </c>
      <c r="K9">
        <v>101.91710333333333</v>
      </c>
      <c r="L9">
        <v>96.862524731559276</v>
      </c>
    </row>
    <row r="10" spans="1:12" x14ac:dyDescent="0.2">
      <c r="A10" s="4">
        <v>39448</v>
      </c>
      <c r="B10">
        <v>105.22876000000001</v>
      </c>
      <c r="C10">
        <v>101.92233333333333</v>
      </c>
      <c r="D10">
        <v>32.069819931775179</v>
      </c>
      <c r="E10">
        <v>105.322</v>
      </c>
      <c r="F10">
        <v>86.844505755452914</v>
      </c>
      <c r="G10">
        <v>113.63636333333334</v>
      </c>
      <c r="H10">
        <v>104.76103666666667</v>
      </c>
      <c r="I10">
        <v>112.29020333333334</v>
      </c>
      <c r="J10">
        <v>157.91283666666666</v>
      </c>
      <c r="K10">
        <v>102.22424666666666</v>
      </c>
      <c r="L10">
        <v>96.278417738331314</v>
      </c>
    </row>
    <row r="11" spans="1:12" x14ac:dyDescent="0.2">
      <c r="A11" s="4">
        <v>39539</v>
      </c>
      <c r="B11">
        <v>109.15032666666667</v>
      </c>
      <c r="C11">
        <v>103.07283333333334</v>
      </c>
      <c r="D11">
        <v>42.599508946337131</v>
      </c>
      <c r="E11">
        <v>107.32133333333333</v>
      </c>
      <c r="F11">
        <v>148.14430023834146</v>
      </c>
      <c r="G11">
        <v>121.21211999999998</v>
      </c>
      <c r="H11">
        <v>106.12391666666667</v>
      </c>
      <c r="I11">
        <v>107.10370666666665</v>
      </c>
      <c r="J11">
        <v>199.84415999999999</v>
      </c>
      <c r="K11">
        <v>102.25462333333333</v>
      </c>
      <c r="L11">
        <v>95.666720555884353</v>
      </c>
    </row>
    <row r="12" spans="1:12" x14ac:dyDescent="0.2">
      <c r="A12" s="4">
        <v>39630</v>
      </c>
      <c r="B12">
        <v>119.60784333333334</v>
      </c>
      <c r="C12">
        <v>104.11283333333334</v>
      </c>
      <c r="D12">
        <v>44.710223675680389</v>
      </c>
      <c r="E12">
        <v>109.83466666666668</v>
      </c>
      <c r="F12">
        <v>-108.12393642859927</v>
      </c>
      <c r="G12">
        <v>136.36363333333335</v>
      </c>
      <c r="H12">
        <v>107.76021333333331</v>
      </c>
      <c r="I12">
        <v>123.56726333333334</v>
      </c>
      <c r="J12">
        <v>190.20366666666666</v>
      </c>
      <c r="K12">
        <v>101.96436</v>
      </c>
      <c r="L12">
        <v>94.52911801868386</v>
      </c>
    </row>
    <row r="13" spans="1:12" x14ac:dyDescent="0.2">
      <c r="A13" s="4">
        <v>39722</v>
      </c>
      <c r="B13">
        <v>128.43136999999999</v>
      </c>
      <c r="C13">
        <v>104.49733333333334</v>
      </c>
      <c r="D13">
        <v>16.607421177392542</v>
      </c>
      <c r="E13">
        <v>107.56166666666667</v>
      </c>
      <c r="F13">
        <v>360.78327696438299</v>
      </c>
      <c r="G13">
        <v>156.06060333333332</v>
      </c>
      <c r="H13">
        <v>105.29230333333334</v>
      </c>
      <c r="I13">
        <v>55.05254</v>
      </c>
      <c r="J13">
        <v>94.099626666666666</v>
      </c>
      <c r="K13">
        <v>101.14080999999999</v>
      </c>
      <c r="L13">
        <v>93.034293045868438</v>
      </c>
    </row>
    <row r="14" spans="1:12" x14ac:dyDescent="0.2">
      <c r="A14" s="4">
        <v>39814</v>
      </c>
      <c r="B14">
        <v>140.84967333333336</v>
      </c>
      <c r="C14">
        <v>105.74616666666667</v>
      </c>
      <c r="D14">
        <v>10.371417979740626</v>
      </c>
      <c r="E14">
        <v>105.81866666666667</v>
      </c>
      <c r="F14">
        <v>75.724510739506414</v>
      </c>
      <c r="G14">
        <v>187.87878666666666</v>
      </c>
      <c r="H14">
        <v>104.56803000000001</v>
      </c>
      <c r="I14">
        <v>78.950606666666673</v>
      </c>
      <c r="J14">
        <v>69.256810000000002</v>
      </c>
      <c r="K14">
        <v>99.756983333333338</v>
      </c>
      <c r="L14">
        <v>91.978168230540021</v>
      </c>
    </row>
    <row r="15" spans="1:12" x14ac:dyDescent="0.2">
      <c r="A15" s="4">
        <v>39904</v>
      </c>
      <c r="B15">
        <v>150</v>
      </c>
      <c r="C15">
        <v>106.58049999999999</v>
      </c>
      <c r="D15">
        <v>-2.8532139223388078</v>
      </c>
      <c r="E15">
        <v>107.35700000000001</v>
      </c>
      <c r="F15">
        <v>-104.43504095422499</v>
      </c>
      <c r="G15">
        <v>211.3636333333333</v>
      </c>
      <c r="H15">
        <v>105.12407999999999</v>
      </c>
      <c r="I15">
        <v>47.828756666666663</v>
      </c>
      <c r="J15">
        <v>95.991186666666678</v>
      </c>
      <c r="K15">
        <v>98.467663333333334</v>
      </c>
      <c r="L15">
        <v>90.364468234825893</v>
      </c>
    </row>
    <row r="16" spans="1:12" x14ac:dyDescent="0.2">
      <c r="A16" s="4">
        <v>39995</v>
      </c>
      <c r="B16">
        <v>155.88235333333333</v>
      </c>
      <c r="C16">
        <v>107.36749999999999</v>
      </c>
      <c r="D16">
        <v>-6.4886648199189816</v>
      </c>
      <c r="E16">
        <v>108.63566666666667</v>
      </c>
      <c r="F16">
        <v>134.8177577942576</v>
      </c>
      <c r="G16">
        <v>218.93939333333333</v>
      </c>
      <c r="H16">
        <v>106.02855666666666</v>
      </c>
      <c r="I16">
        <v>32.601516666666669</v>
      </c>
      <c r="J16">
        <v>109.95217333333335</v>
      </c>
      <c r="K16">
        <v>97.95126333333333</v>
      </c>
      <c r="L16">
        <v>89.463838706502358</v>
      </c>
    </row>
    <row r="17" spans="1:12" x14ac:dyDescent="0.2">
      <c r="A17" s="4">
        <v>40087</v>
      </c>
      <c r="B17">
        <v>156.20914999999999</v>
      </c>
      <c r="C17">
        <v>107.67966666666666</v>
      </c>
      <c r="D17">
        <v>-13.881099800734418</v>
      </c>
      <c r="E17">
        <v>109.42333333333333</v>
      </c>
      <c r="F17">
        <v>-2.7578404655026674</v>
      </c>
      <c r="G17">
        <v>225.75757666666667</v>
      </c>
      <c r="H17">
        <v>106.85869000000001</v>
      </c>
      <c r="I17">
        <v>26.504683333333332</v>
      </c>
      <c r="J17">
        <v>122.62883666666666</v>
      </c>
      <c r="K17">
        <v>97.812880000000007</v>
      </c>
      <c r="L17">
        <v>87.988135467005634</v>
      </c>
    </row>
    <row r="18" spans="1:12" x14ac:dyDescent="0.2">
      <c r="A18" s="4">
        <v>40179</v>
      </c>
      <c r="B18">
        <v>159.80392333333336</v>
      </c>
      <c r="C18">
        <v>107.69966666666666</v>
      </c>
      <c r="D18">
        <v>-19.31725060666653</v>
      </c>
      <c r="E18">
        <v>110.28399999999999</v>
      </c>
      <c r="F18">
        <v>-9.5858176301414719</v>
      </c>
      <c r="G18">
        <v>223.48484666666664</v>
      </c>
      <c r="H18">
        <v>107.02806333333335</v>
      </c>
      <c r="I18">
        <v>3.5151199999999996</v>
      </c>
      <c r="J18">
        <v>126.75587</v>
      </c>
      <c r="K18">
        <v>98.079520000000002</v>
      </c>
      <c r="L18">
        <v>87.62494914814539</v>
      </c>
    </row>
    <row r="19" spans="1:12" x14ac:dyDescent="0.2">
      <c r="A19" s="4">
        <v>40269</v>
      </c>
      <c r="B19">
        <v>166.01307</v>
      </c>
      <c r="C19">
        <v>108.18783333333333</v>
      </c>
      <c r="D19">
        <v>-15.256629911651833</v>
      </c>
      <c r="E19">
        <v>110.771</v>
      </c>
      <c r="F19">
        <v>-21.504663573076105</v>
      </c>
      <c r="G19">
        <v>218.93939333333333</v>
      </c>
      <c r="H19">
        <v>106.99031666666667</v>
      </c>
      <c r="I19">
        <v>24.375746666666668</v>
      </c>
      <c r="J19">
        <v>125.56827333333332</v>
      </c>
      <c r="K19">
        <v>98.79843666666666</v>
      </c>
      <c r="L19">
        <v>87.097228073623441</v>
      </c>
    </row>
    <row r="20" spans="1:12" x14ac:dyDescent="0.2">
      <c r="A20" s="4">
        <v>40360</v>
      </c>
      <c r="B20">
        <v>159.80392333333336</v>
      </c>
      <c r="C20">
        <v>107.90983333333334</v>
      </c>
      <c r="D20">
        <v>-12.652843911773395</v>
      </c>
      <c r="E20">
        <v>110.30733333333332</v>
      </c>
      <c r="F20">
        <v>23.637561317801538</v>
      </c>
      <c r="G20">
        <v>215.15151333333333</v>
      </c>
      <c r="H20">
        <v>107.30395666666668</v>
      </c>
      <c r="I20">
        <v>31.783023333333333</v>
      </c>
      <c r="J20">
        <v>122.79005000000001</v>
      </c>
      <c r="K20">
        <v>99.351966666666655</v>
      </c>
      <c r="L20">
        <v>86.06149187291112</v>
      </c>
    </row>
    <row r="21" spans="1:12" x14ac:dyDescent="0.2">
      <c r="A21" s="4">
        <v>40452</v>
      </c>
      <c r="B21">
        <v>155.55555666666666</v>
      </c>
      <c r="C21">
        <v>107.95516666666667</v>
      </c>
      <c r="D21">
        <v>-19.517863314581415</v>
      </c>
      <c r="E21">
        <v>110.54233333333333</v>
      </c>
      <c r="F21">
        <v>-14.125542862133257</v>
      </c>
      <c r="G21">
        <v>215.90908999999999</v>
      </c>
      <c r="H21">
        <v>108.17282</v>
      </c>
      <c r="I21">
        <v>46.93578333333334</v>
      </c>
      <c r="J21">
        <v>137.07345999999998</v>
      </c>
      <c r="K21">
        <v>99.932493333333341</v>
      </c>
      <c r="L21">
        <v>86.020971439621647</v>
      </c>
    </row>
    <row r="22" spans="1:12" x14ac:dyDescent="0.2">
      <c r="A22" s="4">
        <v>40544</v>
      </c>
      <c r="B22">
        <v>160.45751666666669</v>
      </c>
      <c r="C22">
        <v>108.09366666666666</v>
      </c>
      <c r="D22">
        <v>-24.527468147307768</v>
      </c>
      <c r="E22">
        <v>112.19333333333334</v>
      </c>
      <c r="F22">
        <v>-17.0822145184436</v>
      </c>
      <c r="G22">
        <v>205.30302666666668</v>
      </c>
      <c r="H22">
        <v>109.32726333333333</v>
      </c>
      <c r="I22">
        <v>83.584279999999993</v>
      </c>
      <c r="J22">
        <v>151.50733333333335</v>
      </c>
      <c r="K22">
        <v>100.67841333333332</v>
      </c>
      <c r="L22">
        <v>85.369178854618625</v>
      </c>
    </row>
    <row r="23" spans="1:12" x14ac:dyDescent="0.2">
      <c r="A23" s="4">
        <v>40634</v>
      </c>
      <c r="B23">
        <v>159.80392333333333</v>
      </c>
      <c r="C23">
        <v>108.4645</v>
      </c>
      <c r="D23">
        <v>-23.691858585192318</v>
      </c>
      <c r="E23">
        <v>114.075</v>
      </c>
      <c r="F23">
        <v>-14.70949872872842</v>
      </c>
      <c r="G23">
        <v>206.06060333333335</v>
      </c>
      <c r="H23">
        <v>110.57033</v>
      </c>
      <c r="I23">
        <v>79.271720000000002</v>
      </c>
      <c r="J23">
        <v>165.32860333333332</v>
      </c>
      <c r="K23">
        <v>101.43783000000001</v>
      </c>
      <c r="L23">
        <v>84.901018694288936</v>
      </c>
    </row>
    <row r="24" spans="1:12" x14ac:dyDescent="0.2">
      <c r="A24" s="4">
        <v>40725</v>
      </c>
      <c r="B24">
        <v>154.24836666666667</v>
      </c>
      <c r="C24">
        <v>109.22083333333335</v>
      </c>
      <c r="D24">
        <v>-14.24609182412585</v>
      </c>
      <c r="E24">
        <v>114.50433333333332</v>
      </c>
      <c r="F24">
        <v>-75.251771976211288</v>
      </c>
      <c r="G24">
        <v>204.54544999999999</v>
      </c>
      <c r="H24">
        <v>111.29131666666667</v>
      </c>
      <c r="I24">
        <v>100.37105000000001</v>
      </c>
      <c r="J24">
        <v>144.62356666666668</v>
      </c>
      <c r="K24">
        <v>102.10611333333333</v>
      </c>
      <c r="L24">
        <v>84.517151557622029</v>
      </c>
    </row>
    <row r="25" spans="1:12" x14ac:dyDescent="0.2">
      <c r="A25" s="4">
        <v>40817</v>
      </c>
      <c r="B25">
        <v>151.63398333333333</v>
      </c>
      <c r="C25">
        <v>109.18566666666668</v>
      </c>
      <c r="D25">
        <v>-6.8092290692924999</v>
      </c>
      <c r="E25">
        <v>113.94433333333332</v>
      </c>
      <c r="F25">
        <v>-52.559906907071202</v>
      </c>
      <c r="G25">
        <v>196.21212333333335</v>
      </c>
      <c r="H25">
        <v>111.79090666666666</v>
      </c>
      <c r="I25">
        <v>76.359143333333336</v>
      </c>
      <c r="J25">
        <v>151.64167666666665</v>
      </c>
      <c r="K25">
        <v>102.96678666666666</v>
      </c>
      <c r="L25">
        <v>85.511226906200591</v>
      </c>
    </row>
    <row r="26" spans="1:12" x14ac:dyDescent="0.2">
      <c r="A26" s="4">
        <v>40909</v>
      </c>
      <c r="B26">
        <v>148.03921666666668</v>
      </c>
      <c r="C26">
        <v>109.76799999999999</v>
      </c>
      <c r="D26">
        <v>-6.4171923286765535</v>
      </c>
      <c r="E26">
        <v>114.58233333333332</v>
      </c>
      <c r="F26">
        <v>-12.744600537983883</v>
      </c>
      <c r="G26">
        <v>187.87878666666666</v>
      </c>
      <c r="H26">
        <v>112.42048333333332</v>
      </c>
      <c r="I26">
        <v>89.314653333333339</v>
      </c>
      <c r="J26">
        <v>165.87672666666666</v>
      </c>
      <c r="K26">
        <v>103.92196333333334</v>
      </c>
      <c r="L26">
        <v>85.747008669875299</v>
      </c>
    </row>
    <row r="27" spans="1:12" x14ac:dyDescent="0.2">
      <c r="A27" s="4">
        <v>41000</v>
      </c>
      <c r="B27">
        <v>141.83006666666665</v>
      </c>
      <c r="C27">
        <v>109.62599999999999</v>
      </c>
      <c r="D27">
        <v>-2.7085899655226271</v>
      </c>
      <c r="E27">
        <v>115.69499999999999</v>
      </c>
      <c r="F27">
        <v>-53.666556308822571</v>
      </c>
      <c r="G27">
        <v>186.36364</v>
      </c>
      <c r="H27">
        <v>112.65780333333333</v>
      </c>
      <c r="I27">
        <v>72.637043333333338</v>
      </c>
      <c r="J27">
        <v>150.70127333333332</v>
      </c>
      <c r="K27">
        <v>104.70838666666667</v>
      </c>
      <c r="L27">
        <v>85.837596025022108</v>
      </c>
    </row>
    <row r="28" spans="1:12" x14ac:dyDescent="0.2">
      <c r="A28" s="4">
        <v>41091</v>
      </c>
      <c r="B28">
        <v>137.58169666666666</v>
      </c>
      <c r="C28">
        <v>109.85916666666667</v>
      </c>
      <c r="D28">
        <v>-1.2320903245015975</v>
      </c>
      <c r="E28">
        <v>114.96966666666667</v>
      </c>
      <c r="F28">
        <v>-60.199157094239922</v>
      </c>
      <c r="G28">
        <v>182.57576000000003</v>
      </c>
      <c r="H28">
        <v>113.16642</v>
      </c>
      <c r="I28">
        <v>83.092583333333337</v>
      </c>
      <c r="J28">
        <v>148.75060666666667</v>
      </c>
      <c r="K28">
        <v>105.46105</v>
      </c>
      <c r="L28">
        <v>85.848597580450374</v>
      </c>
    </row>
    <row r="29" spans="1:12" x14ac:dyDescent="0.2">
      <c r="A29" s="4">
        <v>41183</v>
      </c>
      <c r="B29">
        <v>139.86928333333333</v>
      </c>
      <c r="C29">
        <v>110.76066666666668</v>
      </c>
      <c r="D29">
        <v>-6.1084303652522189</v>
      </c>
      <c r="E29">
        <v>115.58733333333333</v>
      </c>
      <c r="F29">
        <v>-16.794444555110573</v>
      </c>
      <c r="G29">
        <v>177.27272666666667</v>
      </c>
      <c r="H29">
        <v>113.91892666666666</v>
      </c>
      <c r="I29">
        <v>70.173733333333331</v>
      </c>
      <c r="J29">
        <v>142.12477666666666</v>
      </c>
      <c r="K29">
        <v>106.22721666666666</v>
      </c>
      <c r="L29">
        <v>85.687247179950703</v>
      </c>
    </row>
    <row r="30" spans="1:12" x14ac:dyDescent="0.2">
      <c r="A30" s="4">
        <v>41275</v>
      </c>
      <c r="B30">
        <v>137.58169999999998</v>
      </c>
      <c r="C30">
        <v>111.35433333333333</v>
      </c>
      <c r="D30">
        <v>-12.37766755052057</v>
      </c>
      <c r="E30">
        <v>116.19200000000001</v>
      </c>
      <c r="F30">
        <v>-22.48555217447759</v>
      </c>
      <c r="G30">
        <v>175.75757666666667</v>
      </c>
      <c r="H30">
        <v>114.37682333333333</v>
      </c>
      <c r="I30">
        <v>78.378256666666672</v>
      </c>
      <c r="J30">
        <v>152.10919333333334</v>
      </c>
      <c r="K30">
        <v>107.09463999999998</v>
      </c>
      <c r="L30">
        <v>85.090916921490475</v>
      </c>
    </row>
    <row r="31" spans="1:12" x14ac:dyDescent="0.2">
      <c r="A31" s="4">
        <v>41365</v>
      </c>
      <c r="B31">
        <v>134.64052666666666</v>
      </c>
      <c r="C31">
        <v>110.34933333333333</v>
      </c>
      <c r="D31">
        <v>-11.346600082990525</v>
      </c>
      <c r="E31">
        <v>116.04933333333334</v>
      </c>
      <c r="F31">
        <v>-23.801117822613861</v>
      </c>
      <c r="G31">
        <v>171.21212333333335</v>
      </c>
      <c r="H31">
        <v>114.2516</v>
      </c>
      <c r="I31">
        <v>75.611953333333332</v>
      </c>
      <c r="J31">
        <v>151.89962</v>
      </c>
      <c r="K31">
        <v>107.95193666666667</v>
      </c>
      <c r="L31">
        <v>83.691239119394524</v>
      </c>
    </row>
    <row r="32" spans="1:12" x14ac:dyDescent="0.2">
      <c r="A32" s="4">
        <v>41456</v>
      </c>
      <c r="B32">
        <v>139.86927999999997</v>
      </c>
      <c r="C32">
        <v>112.15383333333334</v>
      </c>
      <c r="D32">
        <v>-18.716269343070419</v>
      </c>
      <c r="E32">
        <v>116.82133333333333</v>
      </c>
      <c r="F32">
        <v>-2.4616202207097864</v>
      </c>
      <c r="G32">
        <v>164.39393666666663</v>
      </c>
      <c r="H32">
        <v>114.86952333333333</v>
      </c>
      <c r="I32">
        <v>78.068626666666674</v>
      </c>
      <c r="J32">
        <v>170.60024666666666</v>
      </c>
      <c r="K32">
        <v>108.84973666666667</v>
      </c>
      <c r="L32">
        <v>82.814726563796157</v>
      </c>
    </row>
    <row r="33" spans="1:12" x14ac:dyDescent="0.2">
      <c r="A33" s="4">
        <v>41548</v>
      </c>
      <c r="B33">
        <v>146.07843</v>
      </c>
      <c r="C33">
        <v>111.779</v>
      </c>
      <c r="D33">
        <v>-23.743144912346793</v>
      </c>
      <c r="E33">
        <v>116.66033333333333</v>
      </c>
      <c r="F33">
        <v>-26.655635762838887</v>
      </c>
      <c r="G33">
        <v>157.57575666666665</v>
      </c>
      <c r="H33">
        <v>115.29427333333332</v>
      </c>
      <c r="I33">
        <v>80.887506666666681</v>
      </c>
      <c r="J33">
        <v>156.92944</v>
      </c>
      <c r="K33">
        <v>109.74753666666668</v>
      </c>
      <c r="L33">
        <v>82.839204073565028</v>
      </c>
    </row>
    <row r="34" spans="1:12" x14ac:dyDescent="0.2">
      <c r="A34" s="4">
        <v>41640</v>
      </c>
      <c r="B34">
        <v>142.81045666666668</v>
      </c>
      <c r="C34">
        <v>112.78133333333334</v>
      </c>
      <c r="D34">
        <v>-20.653592831886119</v>
      </c>
      <c r="E34">
        <v>116.57766666666667</v>
      </c>
      <c r="F34">
        <v>-43.627704799398202</v>
      </c>
      <c r="G34">
        <v>151.51515333333336</v>
      </c>
      <c r="H34">
        <v>116.01230666666667</v>
      </c>
      <c r="I34">
        <v>93.145043333333334</v>
      </c>
      <c r="J34">
        <v>159.19179</v>
      </c>
      <c r="K34">
        <v>110.58795666666667</v>
      </c>
      <c r="L34">
        <v>81.927466980399373</v>
      </c>
    </row>
    <row r="35" spans="1:12" x14ac:dyDescent="0.2">
      <c r="A35" s="4">
        <v>41730</v>
      </c>
      <c r="B35">
        <v>133.98692666666665</v>
      </c>
      <c r="C35">
        <v>112.73383333333334</v>
      </c>
      <c r="D35">
        <v>-15.987896921090483</v>
      </c>
      <c r="E35">
        <v>117.10300000000001</v>
      </c>
      <c r="F35">
        <v>-36.471100628310765</v>
      </c>
      <c r="G35">
        <v>140.90908999999999</v>
      </c>
      <c r="H35">
        <v>116.62842666666667</v>
      </c>
      <c r="I35">
        <v>74.259399999999999</v>
      </c>
      <c r="J35">
        <v>166.60755666666668</v>
      </c>
      <c r="K35">
        <v>111.71864333333333</v>
      </c>
      <c r="L35">
        <v>81.760725183957348</v>
      </c>
    </row>
    <row r="36" spans="1:12" x14ac:dyDescent="0.2">
      <c r="A36" s="4">
        <v>41821</v>
      </c>
      <c r="B36">
        <v>136.60130666666666</v>
      </c>
      <c r="C36">
        <v>112.17033333333335</v>
      </c>
      <c r="D36">
        <v>-9.9398459694610217</v>
      </c>
      <c r="E36">
        <v>117.63466666666666</v>
      </c>
      <c r="F36">
        <v>-35.199389758696178</v>
      </c>
      <c r="G36">
        <v>137.87878666666666</v>
      </c>
      <c r="H36">
        <v>116.92679666666668</v>
      </c>
      <c r="I36">
        <v>74.505563333333342</v>
      </c>
      <c r="J36">
        <v>157.63340333333335</v>
      </c>
      <c r="K36">
        <v>112.69407333333334</v>
      </c>
      <c r="L36">
        <v>80.463107520519159</v>
      </c>
    </row>
    <row r="37" spans="1:12" x14ac:dyDescent="0.2">
      <c r="A37" s="4">
        <v>41913</v>
      </c>
      <c r="B37">
        <v>129.08496666666665</v>
      </c>
      <c r="C37">
        <v>112.57783333333333</v>
      </c>
      <c r="D37">
        <v>-3.5796540933574672</v>
      </c>
      <c r="E37">
        <v>117.04566666666666</v>
      </c>
      <c r="F37">
        <v>25.736141779184976</v>
      </c>
      <c r="G37">
        <v>129.54545333333331</v>
      </c>
      <c r="H37">
        <v>116.63630000000001</v>
      </c>
      <c r="I37">
        <v>86.449466666666652</v>
      </c>
      <c r="J37">
        <v>117.94293</v>
      </c>
      <c r="K37">
        <v>113.80113666666666</v>
      </c>
      <c r="L37">
        <v>80.429230116589437</v>
      </c>
    </row>
    <row r="38" spans="1:12" x14ac:dyDescent="0.2">
      <c r="A38" s="4">
        <v>42005</v>
      </c>
      <c r="B38">
        <v>118.62745</v>
      </c>
      <c r="C38">
        <v>111.85916666666667</v>
      </c>
      <c r="D38">
        <v>5.0820558834380138</v>
      </c>
      <c r="E38">
        <v>115.303</v>
      </c>
      <c r="F38">
        <v>85.276567680476504</v>
      </c>
      <c r="G38">
        <v>125.75757333333333</v>
      </c>
      <c r="H38">
        <v>115.88134000000001</v>
      </c>
      <c r="I38">
        <v>77.481216666666668</v>
      </c>
      <c r="J38">
        <v>78.252459999999999</v>
      </c>
      <c r="K38">
        <v>114.83394</v>
      </c>
      <c r="L38">
        <v>80.869635913835438</v>
      </c>
    </row>
    <row r="39" spans="1:12" x14ac:dyDescent="0.2">
      <c r="A39" s="4">
        <v>42095</v>
      </c>
      <c r="B39">
        <v>118.62745</v>
      </c>
      <c r="C39">
        <v>112.1795</v>
      </c>
      <c r="D39">
        <v>0.31099432821875261</v>
      </c>
      <c r="E39">
        <v>115.71300000000001</v>
      </c>
      <c r="F39">
        <v>41.773014215068478</v>
      </c>
      <c r="G39">
        <v>123.48484999999999</v>
      </c>
      <c r="H39">
        <v>116.67158999999999</v>
      </c>
      <c r="I39">
        <v>103.17613999999999</v>
      </c>
      <c r="J39">
        <v>93.255953333333323</v>
      </c>
      <c r="K39">
        <v>115.82287000000001</v>
      </c>
      <c r="L39">
        <v>81.055090215063899</v>
      </c>
    </row>
    <row r="40" spans="1:12" x14ac:dyDescent="0.2">
      <c r="A40" s="4">
        <v>42186</v>
      </c>
      <c r="B40">
        <v>118.30065333333333</v>
      </c>
      <c r="C40">
        <v>113.93650000000001</v>
      </c>
      <c r="D40">
        <v>3.0210485754016996</v>
      </c>
      <c r="E40">
        <v>117.33466666666668</v>
      </c>
      <c r="F40">
        <v>79.417592793437208</v>
      </c>
      <c r="G40">
        <v>115.90908999999999</v>
      </c>
      <c r="H40">
        <v>117.11225666666667</v>
      </c>
      <c r="I40">
        <v>80.182469999999995</v>
      </c>
      <c r="J40">
        <v>74.82938333333334</v>
      </c>
      <c r="K40">
        <v>116.83879999999999</v>
      </c>
      <c r="L40">
        <v>79.826780361057686</v>
      </c>
    </row>
    <row r="41" spans="1:12" x14ac:dyDescent="0.2">
      <c r="A41" s="4">
        <v>42278</v>
      </c>
      <c r="B41">
        <v>117.32026333333333</v>
      </c>
      <c r="C41">
        <v>114.08749999999999</v>
      </c>
      <c r="D41">
        <v>8.8424751165408555</v>
      </c>
      <c r="E41">
        <v>116.49466666666667</v>
      </c>
      <c r="F41">
        <v>-105.57409711763212</v>
      </c>
      <c r="G41">
        <v>114.39393666666668</v>
      </c>
      <c r="H41">
        <v>117.10339666666668</v>
      </c>
      <c r="I41">
        <v>78.068313333333322</v>
      </c>
      <c r="J41">
        <v>67.628566666666657</v>
      </c>
      <c r="K41">
        <v>117.75010000000002</v>
      </c>
      <c r="L41">
        <v>79.754752259294619</v>
      </c>
    </row>
    <row r="42" spans="1:12" x14ac:dyDescent="0.2">
      <c r="A42" s="4">
        <v>42370</v>
      </c>
      <c r="B42">
        <v>113.72548999999999</v>
      </c>
      <c r="C42">
        <v>114.30900000000001</v>
      </c>
      <c r="D42">
        <v>14.591061831026403</v>
      </c>
      <c r="E42">
        <v>115.48266666666666</v>
      </c>
      <c r="F42">
        <v>135.84337127827783</v>
      </c>
      <c r="G42">
        <v>111.36363666666666</v>
      </c>
      <c r="H42">
        <v>117.03069000000001</v>
      </c>
      <c r="I42">
        <v>91.33502</v>
      </c>
      <c r="J42">
        <v>53.49561666666667</v>
      </c>
      <c r="K42">
        <v>118.67152333333333</v>
      </c>
      <c r="L42">
        <v>79.521803349198095</v>
      </c>
    </row>
    <row r="43" spans="1:12" x14ac:dyDescent="0.2">
      <c r="A43" s="4">
        <v>42461</v>
      </c>
      <c r="B43">
        <v>113.39869333333333</v>
      </c>
      <c r="C43">
        <v>114.072</v>
      </c>
      <c r="D43">
        <v>15.338971994468372</v>
      </c>
      <c r="E43">
        <v>115.56666666666666</v>
      </c>
      <c r="F43">
        <v>27.741053147473679</v>
      </c>
      <c r="G43">
        <v>112.12121333333334</v>
      </c>
      <c r="H43">
        <v>117.96668333333332</v>
      </c>
      <c r="I43">
        <v>112.63046666666666</v>
      </c>
      <c r="J43">
        <v>73.201139999999995</v>
      </c>
      <c r="K43">
        <v>119.49169333333333</v>
      </c>
      <c r="L43">
        <v>79.128531651767375</v>
      </c>
    </row>
    <row r="44" spans="1:12" x14ac:dyDescent="0.2">
      <c r="A44" s="4">
        <v>42552</v>
      </c>
      <c r="B44">
        <v>116.01306999999998</v>
      </c>
      <c r="C44">
        <v>113.57166666666667</v>
      </c>
      <c r="D44">
        <v>18.092768594851133</v>
      </c>
      <c r="E44">
        <v>115.93133333333333</v>
      </c>
      <c r="F44">
        <v>9.8272729244907158</v>
      </c>
      <c r="G44">
        <v>111.36363666666666</v>
      </c>
      <c r="H44">
        <v>118.46742333333334</v>
      </c>
      <c r="I44">
        <v>94.550640000000001</v>
      </c>
      <c r="J44">
        <v>72.303723333333323</v>
      </c>
      <c r="K44">
        <v>120.39962333333334</v>
      </c>
      <c r="L44">
        <v>78.844424863330531</v>
      </c>
    </row>
    <row r="45" spans="1:12" x14ac:dyDescent="0.2">
      <c r="A45" s="4">
        <v>42644</v>
      </c>
      <c r="B45">
        <v>117.64706</v>
      </c>
      <c r="C45">
        <v>113.4335</v>
      </c>
      <c r="D45">
        <v>14.096968157965263</v>
      </c>
      <c r="E45">
        <v>116.49900000000001</v>
      </c>
      <c r="F45">
        <v>-75.269833052333027</v>
      </c>
      <c r="G45">
        <v>108.33333333333333</v>
      </c>
      <c r="H45">
        <v>119.21943333333333</v>
      </c>
      <c r="I45">
        <v>79.681169999999995</v>
      </c>
      <c r="J45">
        <v>79.21435666666666</v>
      </c>
      <c r="K45">
        <v>121.30417333333332</v>
      </c>
      <c r="L45">
        <v>78.30459741829749</v>
      </c>
    </row>
    <row r="46" spans="1:12" x14ac:dyDescent="0.2">
      <c r="A46" s="4">
        <v>42736</v>
      </c>
      <c r="B46">
        <v>112.74509666666665</v>
      </c>
      <c r="C46">
        <v>114.14299999999999</v>
      </c>
      <c r="D46">
        <v>17.517369280568786</v>
      </c>
      <c r="E46">
        <v>117.18433333333333</v>
      </c>
      <c r="F46">
        <v>83.687395515179347</v>
      </c>
      <c r="G46">
        <v>103.78787666666666</v>
      </c>
      <c r="H46">
        <v>120.05843</v>
      </c>
      <c r="I46">
        <v>105.70400666666667</v>
      </c>
      <c r="J46">
        <v>83.454246666666663</v>
      </c>
      <c r="K46">
        <v>122.24247000000001</v>
      </c>
      <c r="L46">
        <v>77.406862691743797</v>
      </c>
    </row>
    <row r="47" spans="1:12" x14ac:dyDescent="0.2">
      <c r="A47" s="4">
        <v>42826</v>
      </c>
      <c r="B47">
        <v>104.24836666666666</v>
      </c>
      <c r="C47">
        <v>114.23049999999999</v>
      </c>
      <c r="D47">
        <v>21.929121394971542</v>
      </c>
      <c r="E47">
        <v>117.90266666666666</v>
      </c>
      <c r="F47">
        <v>-63.602260745529044</v>
      </c>
      <c r="G47">
        <v>99.242423333333321</v>
      </c>
      <c r="H47">
        <v>120.19694666666668</v>
      </c>
      <c r="I47">
        <v>68.043979999999991</v>
      </c>
      <c r="J47">
        <v>77.768820000000005</v>
      </c>
      <c r="K47">
        <v>123.18415</v>
      </c>
      <c r="L47">
        <v>77.200138524160266</v>
      </c>
    </row>
    <row r="48" spans="1:12" x14ac:dyDescent="0.2">
      <c r="A48" s="4">
        <v>42917</v>
      </c>
      <c r="B48">
        <v>103.26797333333333</v>
      </c>
      <c r="C48">
        <v>114.11116666666668</v>
      </c>
      <c r="D48">
        <v>23.897002965441246</v>
      </c>
      <c r="E48">
        <v>118.33233333333334</v>
      </c>
      <c r="F48">
        <v>-70.427274516292542</v>
      </c>
      <c r="G48">
        <v>98.48484666666667</v>
      </c>
      <c r="H48">
        <v>120.77154</v>
      </c>
      <c r="I48">
        <v>88.876466666666659</v>
      </c>
      <c r="J48">
        <v>77.645226666666659</v>
      </c>
      <c r="K48">
        <v>124.08532666666667</v>
      </c>
      <c r="L48">
        <v>75.552544627063597</v>
      </c>
    </row>
    <row r="49" spans="1:12" x14ac:dyDescent="0.2">
      <c r="A49" s="4">
        <v>43009</v>
      </c>
      <c r="B49">
        <v>107.51634000000001</v>
      </c>
      <c r="C49">
        <v>113.87133333333334</v>
      </c>
      <c r="D49">
        <v>32.395412518503171</v>
      </c>
      <c r="E49">
        <v>118.28766666666667</v>
      </c>
      <c r="F49">
        <v>-18.619610434930092</v>
      </c>
      <c r="G49">
        <v>94.696973333333332</v>
      </c>
      <c r="H49">
        <v>121.73231333333332</v>
      </c>
      <c r="I49">
        <v>95.407203333333328</v>
      </c>
      <c r="J49">
        <v>89.257886666666664</v>
      </c>
      <c r="K49">
        <v>124.973</v>
      </c>
      <c r="L49">
        <v>63.43115158403711</v>
      </c>
    </row>
    <row r="50" spans="1:12" x14ac:dyDescent="0.2">
      <c r="A50" s="4">
        <v>43101</v>
      </c>
      <c r="B50">
        <v>99.673199999999994</v>
      </c>
      <c r="C50">
        <v>113.37466666666667</v>
      </c>
      <c r="D50">
        <v>41.673454024377371</v>
      </c>
      <c r="E50">
        <v>119.11033333333334</v>
      </c>
      <c r="F50">
        <v>-25.51913743467173</v>
      </c>
      <c r="G50">
        <v>91.666666666666671</v>
      </c>
      <c r="H50">
        <v>122.75808333333333</v>
      </c>
      <c r="I50">
        <v>99.615250000000003</v>
      </c>
      <c r="J50">
        <v>101.38105333333333</v>
      </c>
      <c r="K50">
        <v>125.94842666666666</v>
      </c>
      <c r="L50">
        <v>74.27410891974823</v>
      </c>
    </row>
    <row r="51" spans="1:12" x14ac:dyDescent="0.2">
      <c r="A51" s="4">
        <v>43191</v>
      </c>
      <c r="B51">
        <v>92.810456666666667</v>
      </c>
      <c r="C51">
        <v>113.46466666666667</v>
      </c>
      <c r="D51">
        <v>51.271914604446572</v>
      </c>
      <c r="E51">
        <v>119.306</v>
      </c>
      <c r="F51">
        <v>-39.556619731381822</v>
      </c>
      <c r="G51">
        <v>89.393940000000001</v>
      </c>
      <c r="H51">
        <v>123.42639000000001</v>
      </c>
      <c r="I51">
        <v>104.51677000000001</v>
      </c>
      <c r="J51">
        <v>109.67811333333333</v>
      </c>
      <c r="K51">
        <v>126.96773</v>
      </c>
      <c r="L51">
        <v>77.179478100415835</v>
      </c>
    </row>
    <row r="52" spans="1:12" x14ac:dyDescent="0.2">
      <c r="A52" s="4">
        <v>43282</v>
      </c>
      <c r="B52">
        <v>85.620913333333348</v>
      </c>
      <c r="C52">
        <v>114.15966666666668</v>
      </c>
      <c r="D52">
        <v>57.790690897355113</v>
      </c>
      <c r="E52">
        <v>119.90066666666667</v>
      </c>
      <c r="F52">
        <v>-11.577567011895733</v>
      </c>
      <c r="G52">
        <v>85.606063333333339</v>
      </c>
      <c r="H52">
        <v>123.92237</v>
      </c>
      <c r="I52">
        <v>82.453536666666665</v>
      </c>
      <c r="J52">
        <v>112.45633666666667</v>
      </c>
      <c r="K52">
        <v>127.91953666666666</v>
      </c>
      <c r="L52">
        <v>77.853839299268444</v>
      </c>
    </row>
    <row r="53" spans="1:12" x14ac:dyDescent="0.2">
      <c r="A53" s="4">
        <v>43374</v>
      </c>
      <c r="B53">
        <v>81.699346666666671</v>
      </c>
      <c r="C53">
        <v>113.95616666666666</v>
      </c>
      <c r="D53">
        <v>61.090253436935619</v>
      </c>
      <c r="E53">
        <v>119.17100000000001</v>
      </c>
      <c r="F53">
        <v>-59.883286515690379</v>
      </c>
      <c r="G53">
        <v>87.121213333333344</v>
      </c>
      <c r="H53">
        <v>124.42688666666668</v>
      </c>
      <c r="I53">
        <v>113.02691333333333</v>
      </c>
      <c r="J53">
        <v>95.238863333333327</v>
      </c>
      <c r="K53">
        <v>128.69920333333334</v>
      </c>
      <c r="L53">
        <v>77.122809156872904</v>
      </c>
    </row>
    <row r="54" spans="1:12" x14ac:dyDescent="0.2">
      <c r="A54" s="4">
        <v>43466</v>
      </c>
      <c r="B54">
        <v>84.640526666666673</v>
      </c>
      <c r="C54">
        <v>113.60183333333333</v>
      </c>
      <c r="D54">
        <v>55.542436318951736</v>
      </c>
      <c r="E54">
        <v>118.46566666666668</v>
      </c>
      <c r="F54">
        <v>60.140840951923735</v>
      </c>
      <c r="G54">
        <v>87.878790000000023</v>
      </c>
      <c r="H54">
        <v>124.75906666666667</v>
      </c>
      <c r="I54">
        <v>111.02437999999999</v>
      </c>
      <c r="J54">
        <v>88.387339999999995</v>
      </c>
      <c r="K54">
        <v>129.52612333333335</v>
      </c>
      <c r="L54">
        <v>76.944208079118312</v>
      </c>
    </row>
    <row r="55" spans="1:12" x14ac:dyDescent="0.2">
      <c r="A55" s="4">
        <v>43556</v>
      </c>
      <c r="B55">
        <v>79.084966666666674</v>
      </c>
      <c r="C55">
        <v>113.92685</v>
      </c>
      <c r="D55">
        <v>48.32383722363253</v>
      </c>
      <c r="E55">
        <v>119.9597</v>
      </c>
      <c r="F55">
        <v>150.35797836195394</v>
      </c>
      <c r="G55">
        <v>82.575756666666663</v>
      </c>
      <c r="H55">
        <v>125.67569666666667</v>
      </c>
      <c r="I55">
        <v>102.13367333333333</v>
      </c>
      <c r="J55">
        <v>96.378096666666679</v>
      </c>
      <c r="K55">
        <v>130.51842666666667</v>
      </c>
      <c r="L55">
        <v>76.616219837222545</v>
      </c>
    </row>
    <row r="56" spans="1:12" x14ac:dyDescent="0.2">
      <c r="A56" s="4">
        <v>43647</v>
      </c>
      <c r="B56">
        <v>76.14379000000001</v>
      </c>
      <c r="C56">
        <v>113.80746666666668</v>
      </c>
      <c r="D56">
        <v>46.156569596987396</v>
      </c>
      <c r="E56">
        <v>120.18810000000001</v>
      </c>
      <c r="F56">
        <v>-64.703388918165146</v>
      </c>
      <c r="G56">
        <v>81.818179999999998</v>
      </c>
      <c r="H56">
        <v>126.09026666666666</v>
      </c>
      <c r="I56">
        <v>101.88841333333333</v>
      </c>
      <c r="J56">
        <v>90.875380000000007</v>
      </c>
      <c r="K56">
        <v>131.35210000000001</v>
      </c>
      <c r="L56">
        <v>75.643189214620534</v>
      </c>
    </row>
    <row r="57" spans="1:12" x14ac:dyDescent="0.2">
      <c r="A57" s="4">
        <v>43739</v>
      </c>
      <c r="B57">
        <v>85.294116666666682</v>
      </c>
      <c r="C57">
        <v>114.26401666666668</v>
      </c>
      <c r="D57">
        <v>45.239846979074166</v>
      </c>
      <c r="E57">
        <v>119.46980000000001</v>
      </c>
      <c r="F57">
        <v>-43.02031735272837</v>
      </c>
      <c r="G57">
        <v>81.818179999999998</v>
      </c>
      <c r="H57">
        <v>126.97587333333333</v>
      </c>
      <c r="I57">
        <v>103.63673666666666</v>
      </c>
      <c r="J57">
        <v>91.821163333333331</v>
      </c>
      <c r="K57">
        <v>132.15876666666665</v>
      </c>
      <c r="L57">
        <v>76.765276302606637</v>
      </c>
    </row>
    <row r="58" spans="1:12" x14ac:dyDescent="0.2">
      <c r="A58" s="4">
        <v>43831</v>
      </c>
      <c r="B58">
        <v>88.997824443333329</v>
      </c>
      <c r="C58">
        <v>114.35586666666666</v>
      </c>
      <c r="D58">
        <v>38.804229240060572</v>
      </c>
      <c r="E58">
        <v>119.18430000000001</v>
      </c>
      <c r="F58">
        <v>522.39728012246735</v>
      </c>
      <c r="G58">
        <v>87.121210000000005</v>
      </c>
      <c r="H58">
        <v>127.43361333333333</v>
      </c>
      <c r="I58">
        <v>115.67370666666666</v>
      </c>
      <c r="J58">
        <v>73.765379999999993</v>
      </c>
      <c r="K58">
        <v>132.70217333333335</v>
      </c>
      <c r="L58">
        <v>76.581006253117835</v>
      </c>
    </row>
    <row r="59" spans="1:12" x14ac:dyDescent="0.2">
      <c r="A59" s="4">
        <v>43922</v>
      </c>
      <c r="B59">
        <v>85.511982219999993</v>
      </c>
      <c r="C59">
        <v>114.38708333333334</v>
      </c>
      <c r="D59">
        <v>26.132006090851402</v>
      </c>
      <c r="E59">
        <v>118.79133333333334</v>
      </c>
      <c r="F59">
        <v>-10.270485986750071</v>
      </c>
      <c r="G59">
        <v>295.45454666666666</v>
      </c>
      <c r="H59">
        <v>126.19005333333332</v>
      </c>
      <c r="I59">
        <v>84.560690000000008</v>
      </c>
      <c r="J59">
        <v>44.827773333333333</v>
      </c>
      <c r="K59">
        <v>119.21493333333335</v>
      </c>
      <c r="L59">
        <v>70.981113746811332</v>
      </c>
    </row>
    <row r="60" spans="1:12" x14ac:dyDescent="0.2">
      <c r="A60" s="4">
        <v>44013</v>
      </c>
      <c r="B60">
        <v>82.026146666666662</v>
      </c>
      <c r="C60">
        <v>114.75355</v>
      </c>
      <c r="D60">
        <v>20.880262957346954</v>
      </c>
      <c r="E60">
        <v>118.59009999999999</v>
      </c>
      <c r="F60">
        <v>-23.015226208676534</v>
      </c>
      <c r="G60">
        <v>200</v>
      </c>
      <c r="H60">
        <v>127.63253000000002</v>
      </c>
      <c r="I60">
        <v>87.989603333333321</v>
      </c>
      <c r="J60">
        <v>65.925086666666672</v>
      </c>
      <c r="K60">
        <v>123.37316</v>
      </c>
      <c r="L60">
        <v>74.816658165054875</v>
      </c>
    </row>
    <row r="61" spans="1:12" x14ac:dyDescent="0.2">
      <c r="A61" s="4">
        <v>44105</v>
      </c>
      <c r="B61">
        <v>90.19607666666667</v>
      </c>
      <c r="C61">
        <v>114.65893333333332</v>
      </c>
      <c r="D61">
        <v>11.588420899306458</v>
      </c>
      <c r="E61">
        <v>119.05686666666668</v>
      </c>
      <c r="F61">
        <v>-19.754360451897991</v>
      </c>
      <c r="G61">
        <v>153.78788</v>
      </c>
      <c r="H61">
        <v>128.55325666666667</v>
      </c>
      <c r="I61">
        <v>57.775903333333332</v>
      </c>
      <c r="J61">
        <v>68.44</v>
      </c>
      <c r="K61">
        <v>126.04968333333333</v>
      </c>
      <c r="L61">
        <v>75.914408232858307</v>
      </c>
    </row>
    <row r="62" spans="1:12" x14ac:dyDescent="0.2">
      <c r="A62" s="4">
        <v>44197</v>
      </c>
      <c r="B62">
        <v>83.986926666666662</v>
      </c>
      <c r="C62">
        <v>116.38416666666667</v>
      </c>
      <c r="D62">
        <v>-1.4137708688904915</v>
      </c>
      <c r="E62">
        <v>119.81133333333332</v>
      </c>
      <c r="F62">
        <v>-8.8134397164895173</v>
      </c>
      <c r="G62">
        <v>141.66666666666666</v>
      </c>
      <c r="H62">
        <v>129.85836</v>
      </c>
      <c r="I62">
        <v>72.049476666666678</v>
      </c>
      <c r="J62">
        <v>93.164596666666668</v>
      </c>
      <c r="K62">
        <v>127.64277</v>
      </c>
      <c r="L62">
        <v>76.954996143176928</v>
      </c>
    </row>
    <row r="63" spans="1:12" x14ac:dyDescent="0.2">
      <c r="A63" s="4">
        <v>44287</v>
      </c>
      <c r="B63">
        <v>80.065356666666673</v>
      </c>
      <c r="C63">
        <v>116.8385</v>
      </c>
      <c r="D63">
        <v>-5.9480306714028215</v>
      </c>
      <c r="E63">
        <v>121.003</v>
      </c>
      <c r="F63">
        <v>-44.032593346024271</v>
      </c>
      <c r="G63">
        <v>134.84848333333335</v>
      </c>
      <c r="H63">
        <v>132.22567000000001</v>
      </c>
      <c r="I63">
        <v>115.45402999999999</v>
      </c>
      <c r="J63">
        <v>106.54522000000001</v>
      </c>
      <c r="K63">
        <v>129.40124333333333</v>
      </c>
      <c r="L63">
        <v>76.315222549896191</v>
      </c>
    </row>
    <row r="64" spans="1:12" x14ac:dyDescent="0.2">
      <c r="A64" s="4">
        <v>44378</v>
      </c>
      <c r="B64">
        <v>80.392156666666665</v>
      </c>
      <c r="C64">
        <v>117.76150000000001</v>
      </c>
      <c r="D64">
        <v>2.7115971181641765</v>
      </c>
      <c r="E64">
        <v>122.43033333333334</v>
      </c>
      <c r="F64">
        <v>-23.565316043688501</v>
      </c>
      <c r="G64">
        <v>115.15151333333334</v>
      </c>
      <c r="H64">
        <v>134.33268000000001</v>
      </c>
      <c r="I64">
        <v>151.44888333333336</v>
      </c>
      <c r="J64">
        <v>113.85350999999999</v>
      </c>
      <c r="K64">
        <v>131.774</v>
      </c>
      <c r="L64">
        <v>75.346771851140076</v>
      </c>
    </row>
    <row r="65" spans="1:12" x14ac:dyDescent="0.2">
      <c r="A65" s="4">
        <v>44470</v>
      </c>
      <c r="B65">
        <v>69.281043333333329</v>
      </c>
      <c r="C65">
        <v>118.99366666666667</v>
      </c>
      <c r="D65">
        <v>10.214064858443672</v>
      </c>
      <c r="E65">
        <v>123.84433333333332</v>
      </c>
      <c r="F65">
        <v>-93.099024706214209</v>
      </c>
      <c r="G65">
        <v>94.696970000000007</v>
      </c>
      <c r="H65">
        <v>137.25816333333333</v>
      </c>
      <c r="I65">
        <v>212.05440999999999</v>
      </c>
      <c r="J65">
        <v>124.85356666666665</v>
      </c>
      <c r="K65">
        <v>134.07249999999999</v>
      </c>
      <c r="L65">
        <v>77.30226442177144</v>
      </c>
    </row>
    <row r="66" spans="1:12" x14ac:dyDescent="0.2">
      <c r="A66" s="4">
        <v>44562</v>
      </c>
      <c r="B66">
        <v>61.764706666666662</v>
      </c>
      <c r="C66">
        <v>120.65766666666667</v>
      </c>
      <c r="D66">
        <v>39.035472546399582</v>
      </c>
      <c r="E66">
        <v>125.447</v>
      </c>
      <c r="F66">
        <v>-181.08393359202094</v>
      </c>
      <c r="G66">
        <v>87.87878666666667</v>
      </c>
      <c r="H66">
        <v>140.27851666666666</v>
      </c>
      <c r="I66">
        <v>231.07331666666667</v>
      </c>
      <c r="J66">
        <v>152.27040666666664</v>
      </c>
      <c r="K66">
        <v>135.86134666666666</v>
      </c>
      <c r="L66">
        <v>79.130627341954764</v>
      </c>
    </row>
    <row r="67" spans="1:12" x14ac:dyDescent="0.2">
      <c r="A67" s="4">
        <v>44652</v>
      </c>
      <c r="B67">
        <v>57.843139999999998</v>
      </c>
      <c r="C67">
        <v>123.30078050064999</v>
      </c>
      <c r="D67">
        <v>73.272186836864535</v>
      </c>
      <c r="E67">
        <v>128.96673333333334</v>
      </c>
      <c r="F67">
        <v>-90.89308435403079</v>
      </c>
      <c r="G67">
        <v>82.575756666666663</v>
      </c>
      <c r="H67">
        <v>143.57722000000001</v>
      </c>
      <c r="I67">
        <v>271.59774666666664</v>
      </c>
      <c r="J67">
        <v>175.27540333333332</v>
      </c>
      <c r="K67">
        <v>137.39705666666666</v>
      </c>
      <c r="L67">
        <v>79.018465113287064</v>
      </c>
    </row>
    <row r="68" spans="1:12" x14ac:dyDescent="0.2">
      <c r="A68" s="4">
        <v>44743</v>
      </c>
      <c r="B68">
        <v>57.189546666666665</v>
      </c>
      <c r="C68">
        <v>124.3565</v>
      </c>
      <c r="D68">
        <v>94.225868446681019</v>
      </c>
      <c r="E68">
        <v>130.50633333333334</v>
      </c>
      <c r="F68">
        <v>-186.4465031159441</v>
      </c>
      <c r="G68">
        <v>80.303026666666668</v>
      </c>
      <c r="H68">
        <v>145.47169</v>
      </c>
      <c r="I68">
        <v>265.20339999999999</v>
      </c>
      <c r="J68">
        <v>150.22301333333334</v>
      </c>
      <c r="K68">
        <v>138.76400666666666</v>
      </c>
      <c r="L68">
        <v>78.648404828691142</v>
      </c>
    </row>
    <row r="69" spans="1:12" x14ac:dyDescent="0.2">
      <c r="A69" s="4">
        <v>44835</v>
      </c>
      <c r="B69">
        <v>58.823529999999998</v>
      </c>
      <c r="C69">
        <v>125.39999999999999</v>
      </c>
      <c r="D69">
        <v>122.9888227583386</v>
      </c>
      <c r="E69">
        <v>131.64166666666668</v>
      </c>
      <c r="F69">
        <v>-15.312234824983193</v>
      </c>
      <c r="G69">
        <v>81.060603333333333</v>
      </c>
      <c r="H69">
        <v>146.99244999999999</v>
      </c>
      <c r="I69">
        <v>232.45998666666665</v>
      </c>
      <c r="J69">
        <v>133.4623</v>
      </c>
      <c r="K69">
        <v>139.95544666666669</v>
      </c>
      <c r="L69">
        <v>78.550694731698513</v>
      </c>
    </row>
    <row r="70" spans="1:12" x14ac:dyDescent="0.2">
      <c r="A70" s="4">
        <v>44927</v>
      </c>
      <c r="B70">
        <v>58.823529999999998</v>
      </c>
      <c r="C70">
        <v>127.24676666666666</v>
      </c>
      <c r="D70">
        <v>122.13026809185902</v>
      </c>
      <c r="E70">
        <v>132.41249999999999</v>
      </c>
      <c r="F70">
        <v>43.833666685680875</v>
      </c>
      <c r="G70">
        <v>80.303026666666668</v>
      </c>
      <c r="H70">
        <v>148.31626333333335</v>
      </c>
      <c r="I70">
        <v>228.94542000000001</v>
      </c>
      <c r="J70">
        <v>122.64495666666666</v>
      </c>
      <c r="K70">
        <v>141.08613333333332</v>
      </c>
      <c r="L70">
        <v>80.077120345561013</v>
      </c>
    </row>
    <row r="71" spans="1:12" x14ac:dyDescent="0.2">
      <c r="A71" s="4">
        <v>45017</v>
      </c>
      <c r="B71">
        <v>60.130716666666665</v>
      </c>
      <c r="C71">
        <v>128.73211666666666</v>
      </c>
      <c r="D71">
        <v>122.84952368619379</v>
      </c>
      <c r="E71">
        <v>133.16353333333333</v>
      </c>
      <c r="F71">
        <v>-166.59119338441522</v>
      </c>
      <c r="G71">
        <v>80.303029999999993</v>
      </c>
      <c r="H71">
        <v>149.38338999999999</v>
      </c>
      <c r="I71">
        <v>177.27005</v>
      </c>
      <c r="J71">
        <v>118.91020666666667</v>
      </c>
      <c r="K71">
        <v>142.09194000000002</v>
      </c>
      <c r="L71">
        <v>81.000517905376213</v>
      </c>
    </row>
    <row r="72" spans="1:12" x14ac:dyDescent="0.2">
      <c r="A72" s="4">
        <v>45108</v>
      </c>
      <c r="B72">
        <v>57.189543333333326</v>
      </c>
      <c r="C72">
        <v>130.33250000000001</v>
      </c>
      <c r="D72">
        <v>136.43074781769954</v>
      </c>
      <c r="E72">
        <v>134.25333333333333</v>
      </c>
      <c r="F72">
        <v>-130.17830439511187</v>
      </c>
      <c r="G72">
        <v>82.575756666666663</v>
      </c>
      <c r="H72">
        <v>150.65928</v>
      </c>
      <c r="I72">
        <v>159.11134000000001</v>
      </c>
      <c r="J72">
        <v>132.67236</v>
      </c>
      <c r="K72">
        <v>143.03024000000002</v>
      </c>
      <c r="L72">
        <v>81.629895002912107</v>
      </c>
    </row>
    <row r="73" spans="1:12" x14ac:dyDescent="0.2">
      <c r="A73" s="4">
        <v>45200</v>
      </c>
      <c r="B73">
        <v>55.228756666666669</v>
      </c>
      <c r="C73">
        <v>130.45916666666668</v>
      </c>
      <c r="D73">
        <v>127.90057761901738</v>
      </c>
      <c r="E73">
        <v>134.53266666666667</v>
      </c>
      <c r="F73">
        <v>113.54457110444093</v>
      </c>
      <c r="G73">
        <v>86.363636666666665</v>
      </c>
      <c r="H73">
        <v>151.74544333333333</v>
      </c>
      <c r="I73">
        <v>178.52950333333334</v>
      </c>
      <c r="J73">
        <v>126.40658000000001</v>
      </c>
      <c r="K73">
        <v>143.89766333333333</v>
      </c>
      <c r="L73">
        <v>82.090265736886508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Sources &amp; Methods</vt:lpstr>
      <vt:lpstr>Prem-Monthly-Data</vt:lpstr>
      <vt:lpstr>Prem-Quarterly-Data-1984</vt:lpstr>
      <vt:lpstr>Prem-Quarterly-Data-2006-2023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Hector Romero</cp:lastModifiedBy>
  <dcterms:created xsi:type="dcterms:W3CDTF">2023-09-28T18:57:14Z</dcterms:created>
  <dcterms:modified xsi:type="dcterms:W3CDTF">2026-02-27T16:46:27Z</dcterms:modified>
</cp:coreProperties>
</file>